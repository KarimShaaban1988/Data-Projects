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filterPrivacy="1" defaultThemeVersion="124226"/>
  <xr:revisionPtr revIDLastSave="0" documentId="13_ncr:1_{D3964563-3507-4660-8B40-0EC170B3DA12}" xr6:coauthVersionLast="47" xr6:coauthVersionMax="47" xr10:uidLastSave="{00000000-0000-0000-0000-000000000000}"/>
  <bookViews>
    <workbookView minimized="1" xWindow="4845" yWindow="345" windowWidth="11745" windowHeight="15600" tabRatio="887" activeTab="1" xr2:uid="{00000000-000D-0000-FFFF-FFFF00000000}"/>
  </bookViews>
  <sheets>
    <sheet name="كـشـف حضور يومي" sheetId="18" r:id="rId1"/>
    <sheet name="تقرير حضور مجمع" sheetId="1" r:id="rId2"/>
    <sheet name="كريم" sheetId="3" r:id="rId3"/>
    <sheet name="عبد العزيز" sheetId="4" r:id="rId4"/>
    <sheet name="محمد حسين" sheetId="5" r:id="rId5"/>
    <sheet name="هالة محمود" sheetId="6" r:id="rId6"/>
    <sheet name="إسلام محمد" sheetId="7" r:id="rId7"/>
    <sheet name="أحمد عبد المنعم" sheetId="8" r:id="rId8"/>
    <sheet name="هاجر أحمد" sheetId="9" r:id="rId9"/>
    <sheet name="مديحة حمدي" sheetId="10" r:id="rId10"/>
    <sheet name="دينا سيد" sheetId="11" r:id="rId11"/>
    <sheet name="أحمد نبوي" sheetId="12" r:id="rId12"/>
    <sheet name="محمد إبراهيم" sheetId="13" r:id="rId13"/>
    <sheet name="حصر شهري" sheetId="16" r:id="rId14"/>
    <sheet name="مراجع" sheetId="15"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F14" i="18" l="1"/>
  <c r="GE14" i="18" s="1"/>
  <c r="FZ14" i="18"/>
  <c r="FY14" i="18" s="1"/>
  <c r="FT14" i="18"/>
  <c r="FS14" i="18"/>
  <c r="FR14" i="18"/>
  <c r="FN14" i="18"/>
  <c r="FM14" i="18" s="1"/>
  <c r="FL14" i="18"/>
  <c r="FH14" i="18"/>
  <c r="FG14" i="18" s="1"/>
  <c r="FB14" i="18"/>
  <c r="FA14" i="18" s="1"/>
  <c r="GF13" i="18"/>
  <c r="GE13" i="18" s="1"/>
  <c r="GD13" i="18"/>
  <c r="FZ13" i="18"/>
  <c r="FY13" i="18" s="1"/>
  <c r="FX13" i="18"/>
  <c r="FT13" i="18"/>
  <c r="FS13" i="18" s="1"/>
  <c r="FN13" i="18"/>
  <c r="FM13" i="18" s="1"/>
  <c r="FH13" i="18"/>
  <c r="FG13" i="18" s="1"/>
  <c r="FF13" i="18"/>
  <c r="FB13" i="18"/>
  <c r="FA13" i="18" s="1"/>
  <c r="GF12" i="18"/>
  <c r="GE12" i="18" s="1"/>
  <c r="FZ12" i="18"/>
  <c r="FY12" i="18" s="1"/>
  <c r="FT12" i="18"/>
  <c r="FS12" i="18"/>
  <c r="FR12" i="18"/>
  <c r="FN12" i="18"/>
  <c r="FM12" i="18" s="1"/>
  <c r="FH12" i="18"/>
  <c r="FG12" i="18" s="1"/>
  <c r="FB12" i="18"/>
  <c r="FA12" i="18" s="1"/>
  <c r="GF11" i="18"/>
  <c r="GD11" i="18" s="1"/>
  <c r="FZ11" i="18"/>
  <c r="FY11" i="18" s="1"/>
  <c r="FX11" i="18"/>
  <c r="FT11" i="18"/>
  <c r="FS11" i="18" s="1"/>
  <c r="FN11" i="18"/>
  <c r="FM11" i="18" s="1"/>
  <c r="FH11" i="18"/>
  <c r="FG11" i="18"/>
  <c r="FF11" i="18"/>
  <c r="FB11" i="18"/>
  <c r="FA11" i="18" s="1"/>
  <c r="EZ11" i="18"/>
  <c r="GF10" i="18"/>
  <c r="GE10" i="18" s="1"/>
  <c r="FZ10" i="18"/>
  <c r="FY10" i="18" s="1"/>
  <c r="FT10" i="18"/>
  <c r="FS10" i="18" s="1"/>
  <c r="FN10" i="18"/>
  <c r="FM10" i="18" s="1"/>
  <c r="FL10" i="18"/>
  <c r="FH10" i="18"/>
  <c r="FG10" i="18" s="1"/>
  <c r="FB10" i="18"/>
  <c r="FA10" i="18" s="1"/>
  <c r="GF9" i="18"/>
  <c r="GE9" i="18" s="1"/>
  <c r="FZ9" i="18"/>
  <c r="FY9" i="18" s="1"/>
  <c r="FT9" i="18"/>
  <c r="FS9" i="18" s="1"/>
  <c r="FN9" i="18"/>
  <c r="FM9" i="18" s="1"/>
  <c r="FH9" i="18"/>
  <c r="FG9" i="18" s="1"/>
  <c r="FB9" i="18"/>
  <c r="FA9" i="18" s="1"/>
  <c r="EZ9" i="18"/>
  <c r="GF8" i="18"/>
  <c r="GE8" i="18" s="1"/>
  <c r="FZ8" i="18"/>
  <c r="FY8" i="18" s="1"/>
  <c r="FT8" i="18"/>
  <c r="FS8" i="18"/>
  <c r="FR8" i="18"/>
  <c r="FN8" i="18"/>
  <c r="FM8" i="18" s="1"/>
  <c r="FH8" i="18"/>
  <c r="FG8" i="18" s="1"/>
  <c r="FB8" i="18"/>
  <c r="FA8" i="18" s="1"/>
  <c r="GF7" i="18"/>
  <c r="GE7" i="18"/>
  <c r="GD7" i="18"/>
  <c r="FZ7" i="18"/>
  <c r="FY7" i="18" s="1"/>
  <c r="FT7" i="18"/>
  <c r="FS7" i="18" s="1"/>
  <c r="FN7" i="18"/>
  <c r="FM7" i="18" s="1"/>
  <c r="FH7" i="18"/>
  <c r="FG7" i="18"/>
  <c r="FF7" i="18"/>
  <c r="FB7" i="18"/>
  <c r="FA7" i="18" s="1"/>
  <c r="GF6" i="18"/>
  <c r="GE6" i="18" s="1"/>
  <c r="FZ6" i="18"/>
  <c r="FY6" i="18" s="1"/>
  <c r="FT6" i="18"/>
  <c r="FS6" i="18" s="1"/>
  <c r="FR6" i="18"/>
  <c r="FN6" i="18"/>
  <c r="FM6" i="18" s="1"/>
  <c r="FL6" i="18"/>
  <c r="FH6" i="18"/>
  <c r="FG6" i="18" s="1"/>
  <c r="FB6" i="18"/>
  <c r="FA6" i="18" s="1"/>
  <c r="GF5" i="18"/>
  <c r="GE5" i="18" s="1"/>
  <c r="FZ5" i="18"/>
  <c r="FY5" i="18" s="1"/>
  <c r="FX5" i="18"/>
  <c r="FT5" i="18"/>
  <c r="FS5" i="18" s="1"/>
  <c r="FN5" i="18"/>
  <c r="FM5" i="18" s="1"/>
  <c r="FH5" i="18"/>
  <c r="FG5" i="18" s="1"/>
  <c r="FB5" i="18"/>
  <c r="FA5" i="18" s="1"/>
  <c r="EZ5" i="18"/>
  <c r="GF4" i="18"/>
  <c r="GE4" i="18" s="1"/>
  <c r="FZ4" i="18"/>
  <c r="FY4" i="18" s="1"/>
  <c r="FT4" i="18"/>
  <c r="FS4" i="18" s="1"/>
  <c r="FN4" i="18"/>
  <c r="FM4" i="18" s="1"/>
  <c r="FH4" i="18"/>
  <c r="FG4" i="18" s="1"/>
  <c r="FB4" i="18"/>
  <c r="FA4" i="18" s="1"/>
  <c r="EV14" i="18"/>
  <c r="EU14" i="18"/>
  <c r="ET14" i="18"/>
  <c r="EP14" i="18"/>
  <c r="EO14" i="18" s="1"/>
  <c r="EJ14" i="18"/>
  <c r="EI14" i="18" s="1"/>
  <c r="ED14" i="18"/>
  <c r="DX14" i="18"/>
  <c r="DW14" i="18"/>
  <c r="DV14" i="18"/>
  <c r="DR14" i="18"/>
  <c r="DQ14" i="18" s="1"/>
  <c r="DL14" i="18"/>
  <c r="DK14" i="18" s="1"/>
  <c r="DF14" i="18"/>
  <c r="CZ14" i="18"/>
  <c r="CY14" i="18" s="1"/>
  <c r="CX14" i="18"/>
  <c r="CT14" i="18"/>
  <c r="CS14" i="18" s="1"/>
  <c r="CR14" i="18"/>
  <c r="CN14" i="18"/>
  <c r="CM14" i="18" s="1"/>
  <c r="CH14" i="18"/>
  <c r="CB14" i="18"/>
  <c r="CA14" i="18" s="1"/>
  <c r="BV14" i="18"/>
  <c r="BU14" i="18" s="1"/>
  <c r="BT14" i="18"/>
  <c r="BP14" i="18"/>
  <c r="BO14" i="18" s="1"/>
  <c r="BJ14" i="18"/>
  <c r="BD14" i="18"/>
  <c r="BB14" i="18" s="1"/>
  <c r="BC14" i="18"/>
  <c r="AX14" i="18"/>
  <c r="AW14" i="18" s="1"/>
  <c r="AV14" i="18"/>
  <c r="AR14" i="18"/>
  <c r="AQ14" i="18" s="1"/>
  <c r="AL14" i="18"/>
  <c r="AF14" i="18"/>
  <c r="AE14" i="18" s="1"/>
  <c r="Z14" i="18"/>
  <c r="Y14" i="18" s="1"/>
  <c r="T14" i="18"/>
  <c r="S14" i="18" s="1"/>
  <c r="N14" i="18"/>
  <c r="EV13" i="18"/>
  <c r="EU13" i="18" s="1"/>
  <c r="EP13" i="18"/>
  <c r="EJ13" i="18"/>
  <c r="EH13" i="18" s="1"/>
  <c r="EI13" i="18"/>
  <c r="ED13" i="18"/>
  <c r="EC13" i="18" s="1"/>
  <c r="EB13" i="18"/>
  <c r="DX13" i="18"/>
  <c r="DW13" i="18" s="1"/>
  <c r="DR13" i="18"/>
  <c r="DL13" i="18"/>
  <c r="DK13" i="18" s="1"/>
  <c r="DF13" i="18"/>
  <c r="DE13" i="18" s="1"/>
  <c r="CZ13" i="18"/>
  <c r="CY13" i="18" s="1"/>
  <c r="CT13" i="18"/>
  <c r="CN13" i="18"/>
  <c r="CM13" i="18" s="1"/>
  <c r="CH13" i="18"/>
  <c r="CG13" i="18" s="1"/>
  <c r="CB13" i="18"/>
  <c r="CA13" i="18" s="1"/>
  <c r="BV13" i="18"/>
  <c r="BP13" i="18"/>
  <c r="BO13" i="18"/>
  <c r="BN13" i="18"/>
  <c r="BJ13" i="18"/>
  <c r="BI13" i="18" s="1"/>
  <c r="BH13" i="18"/>
  <c r="BD13" i="18"/>
  <c r="BC13" i="18" s="1"/>
  <c r="AX13" i="18"/>
  <c r="AR13" i="18"/>
  <c r="AQ13" i="18"/>
  <c r="AP13" i="18"/>
  <c r="AL13" i="18"/>
  <c r="AK13" i="18" s="1"/>
  <c r="AF13" i="18"/>
  <c r="AE13" i="18" s="1"/>
  <c r="Z13" i="18"/>
  <c r="T13" i="18"/>
  <c r="S13" i="18"/>
  <c r="R13" i="18"/>
  <c r="N13" i="18"/>
  <c r="M13" i="18" s="1"/>
  <c r="EV12" i="18"/>
  <c r="ET12" i="18" s="1"/>
  <c r="EU12" i="18"/>
  <c r="EP12" i="18"/>
  <c r="EO12" i="18" s="1"/>
  <c r="EN12" i="18"/>
  <c r="EJ12" i="18"/>
  <c r="EI12" i="18" s="1"/>
  <c r="ED12" i="18"/>
  <c r="DX12" i="18"/>
  <c r="DW12" i="18" s="1"/>
  <c r="DR12" i="18"/>
  <c r="DQ12" i="18" s="1"/>
  <c r="DP12" i="18"/>
  <c r="DL12" i="18"/>
  <c r="DK12" i="18" s="1"/>
  <c r="DF12" i="18"/>
  <c r="CZ12" i="18"/>
  <c r="CY12" i="18" s="1"/>
  <c r="CT12" i="18"/>
  <c r="CS12" i="18" s="1"/>
  <c r="CN12" i="18"/>
  <c r="CM12" i="18" s="1"/>
  <c r="CH12" i="18"/>
  <c r="CB12" i="18"/>
  <c r="CA12" i="18"/>
  <c r="BZ12" i="18"/>
  <c r="BV12" i="18"/>
  <c r="BU12" i="18" s="1"/>
  <c r="BT12" i="18"/>
  <c r="BP12" i="18"/>
  <c r="BO12" i="18" s="1"/>
  <c r="BJ12" i="18"/>
  <c r="BD12" i="18"/>
  <c r="BC12" i="18"/>
  <c r="BB12" i="18"/>
  <c r="AX12" i="18"/>
  <c r="AW12" i="18" s="1"/>
  <c r="AR12" i="18"/>
  <c r="AQ12" i="18" s="1"/>
  <c r="AL12" i="18"/>
  <c r="AJ12" i="18" s="1"/>
  <c r="AF12" i="18"/>
  <c r="AE12" i="18"/>
  <c r="AD12" i="18"/>
  <c r="Z12" i="18"/>
  <c r="Y12" i="18" s="1"/>
  <c r="T12" i="18"/>
  <c r="N12" i="18"/>
  <c r="L12" i="18" s="1"/>
  <c r="EV11" i="18"/>
  <c r="EP11" i="18"/>
  <c r="EN11" i="18" s="1"/>
  <c r="EJ11" i="18"/>
  <c r="EI11" i="18"/>
  <c r="EH11" i="18"/>
  <c r="ED11" i="18"/>
  <c r="EC11" i="18" s="1"/>
  <c r="DX11" i="18"/>
  <c r="DR11" i="18"/>
  <c r="DP11" i="18" s="1"/>
  <c r="DL11" i="18"/>
  <c r="DK11" i="18"/>
  <c r="DJ11" i="18"/>
  <c r="DF11" i="18"/>
  <c r="DE11" i="18" s="1"/>
  <c r="CZ11" i="18"/>
  <c r="CT11" i="18"/>
  <c r="CR11" i="18" s="1"/>
  <c r="CN11" i="18"/>
  <c r="CM11" i="18" s="1"/>
  <c r="CL11" i="18"/>
  <c r="CH11" i="18"/>
  <c r="CG11" i="18" s="1"/>
  <c r="CF11" i="18"/>
  <c r="CB11" i="18"/>
  <c r="BV11" i="18"/>
  <c r="BT11" i="18" s="1"/>
  <c r="BP11" i="18"/>
  <c r="BO11" i="18" s="1"/>
  <c r="BJ11" i="18"/>
  <c r="BI11" i="18" s="1"/>
  <c r="BH11" i="18"/>
  <c r="BD11" i="18"/>
  <c r="AX11" i="18"/>
  <c r="AV11" i="18" s="1"/>
  <c r="AR11" i="18"/>
  <c r="AP11" i="18" s="1"/>
  <c r="AQ11" i="18"/>
  <c r="AL11" i="18"/>
  <c r="AK11" i="18" s="1"/>
  <c r="AJ11" i="18"/>
  <c r="AF11" i="18"/>
  <c r="Z11" i="18"/>
  <c r="X11" i="18" s="1"/>
  <c r="T11" i="18"/>
  <c r="S11" i="18" s="1"/>
  <c r="N11" i="18"/>
  <c r="M11" i="18" s="1"/>
  <c r="L11" i="18"/>
  <c r="EV10" i="18"/>
  <c r="EU10" i="18"/>
  <c r="ET10" i="18"/>
  <c r="EP10" i="18"/>
  <c r="EO10" i="18" s="1"/>
  <c r="EJ10" i="18"/>
  <c r="ED10" i="18"/>
  <c r="EB10" i="18" s="1"/>
  <c r="DX10" i="18"/>
  <c r="DW10" i="18"/>
  <c r="DV10" i="18"/>
  <c r="DR10" i="18"/>
  <c r="DQ10" i="18" s="1"/>
  <c r="DL10" i="18"/>
  <c r="DF10" i="18"/>
  <c r="DD10" i="18" s="1"/>
  <c r="CZ10" i="18"/>
  <c r="CY10" i="18" s="1"/>
  <c r="CX10" i="18"/>
  <c r="CT10" i="18"/>
  <c r="CS10" i="18" s="1"/>
  <c r="CR10" i="18"/>
  <c r="CN10" i="18"/>
  <c r="CH10" i="18"/>
  <c r="CF10" i="18" s="1"/>
  <c r="CG10" i="18"/>
  <c r="CB10" i="18"/>
  <c r="CA10" i="18"/>
  <c r="BZ10" i="18"/>
  <c r="BV10" i="18"/>
  <c r="BP10" i="18"/>
  <c r="BN10" i="18" s="1"/>
  <c r="BJ10" i="18"/>
  <c r="BD10" i="18"/>
  <c r="BC10" i="18" s="1"/>
  <c r="BB10" i="18"/>
  <c r="AX10" i="18"/>
  <c r="AW10" i="18" s="1"/>
  <c r="AV10" i="18"/>
  <c r="AR10" i="18"/>
  <c r="AL10" i="18"/>
  <c r="AJ10" i="18" s="1"/>
  <c r="AK10" i="18"/>
  <c r="AF10" i="18"/>
  <c r="AE10" i="18"/>
  <c r="AD10" i="18"/>
  <c r="Z10" i="18"/>
  <c r="T10" i="18"/>
  <c r="R10" i="18" s="1"/>
  <c r="N10" i="18"/>
  <c r="EV9" i="18"/>
  <c r="ET9" i="18" s="1"/>
  <c r="EP9" i="18"/>
  <c r="EJ9" i="18"/>
  <c r="EI9" i="18"/>
  <c r="EH9" i="18"/>
  <c r="ED9" i="18"/>
  <c r="EC9" i="18" s="1"/>
  <c r="EB9" i="18"/>
  <c r="DX9" i="18"/>
  <c r="DR9" i="18"/>
  <c r="DQ9" i="18"/>
  <c r="DP9" i="18"/>
  <c r="DL9" i="18"/>
  <c r="DK9" i="18" s="1"/>
  <c r="DF9" i="18"/>
  <c r="CZ9" i="18"/>
  <c r="CX9" i="18" s="1"/>
  <c r="CT9" i="18"/>
  <c r="CN9" i="18"/>
  <c r="CM9" i="18"/>
  <c r="CL9" i="18"/>
  <c r="CH9" i="18"/>
  <c r="CG9" i="18" s="1"/>
  <c r="CF9" i="18"/>
  <c r="CB9" i="18"/>
  <c r="BV9" i="18"/>
  <c r="BU9" i="18"/>
  <c r="BT9" i="18"/>
  <c r="BP9" i="18"/>
  <c r="BO9" i="18" s="1"/>
  <c r="BJ9" i="18"/>
  <c r="BD9" i="18"/>
  <c r="BB9" i="18" s="1"/>
  <c r="AX9" i="18"/>
  <c r="AW9" i="18"/>
  <c r="AV9" i="18"/>
  <c r="AR9" i="18"/>
  <c r="AQ9" i="18" s="1"/>
  <c r="AL9" i="18"/>
  <c r="AF9" i="18"/>
  <c r="AD9" i="18" s="1"/>
  <c r="Z9" i="18"/>
  <c r="Y9" i="18"/>
  <c r="X9" i="18"/>
  <c r="T9" i="18"/>
  <c r="S9" i="18" s="1"/>
  <c r="N9" i="18"/>
  <c r="L9" i="18" s="1"/>
  <c r="EV8" i="18"/>
  <c r="EU8" i="18" s="1"/>
  <c r="EP8" i="18"/>
  <c r="EN8" i="18" s="1"/>
  <c r="EJ8" i="18"/>
  <c r="EH8" i="18" s="1"/>
  <c r="EI8" i="18"/>
  <c r="ED8" i="18"/>
  <c r="EC8" i="18" s="1"/>
  <c r="DX8" i="18"/>
  <c r="DW8" i="18" s="1"/>
  <c r="DR8" i="18"/>
  <c r="DP8" i="18" s="1"/>
  <c r="DQ8" i="18"/>
  <c r="DL8" i="18"/>
  <c r="DK8" i="18" s="1"/>
  <c r="DJ8" i="18"/>
  <c r="DF8" i="18"/>
  <c r="DE8" i="18" s="1"/>
  <c r="CZ8" i="18"/>
  <c r="CY8" i="18" s="1"/>
  <c r="CT8" i="18"/>
  <c r="CR8" i="18" s="1"/>
  <c r="CN8" i="18"/>
  <c r="CL8" i="18" s="1"/>
  <c r="CM8" i="18"/>
  <c r="CH8" i="18"/>
  <c r="CG8" i="18" s="1"/>
  <c r="CB8" i="18"/>
  <c r="CA8" i="18" s="1"/>
  <c r="BV8" i="18"/>
  <c r="BT8" i="18" s="1"/>
  <c r="BU8" i="18"/>
  <c r="BP8" i="18"/>
  <c r="BO8" i="18" s="1"/>
  <c r="BN8" i="18"/>
  <c r="BJ8" i="18"/>
  <c r="BI8" i="18" s="1"/>
  <c r="BD8" i="18"/>
  <c r="BC8" i="18" s="1"/>
  <c r="AX8" i="18"/>
  <c r="AV8" i="18" s="1"/>
  <c r="AR8" i="18"/>
  <c r="AP8" i="18" s="1"/>
  <c r="AQ8" i="18"/>
  <c r="AL8" i="18"/>
  <c r="AK8" i="18" s="1"/>
  <c r="AF8" i="18"/>
  <c r="AE8" i="18" s="1"/>
  <c r="Z8" i="18"/>
  <c r="X8" i="18" s="1"/>
  <c r="Y8" i="18"/>
  <c r="T8" i="18"/>
  <c r="S8" i="18" s="1"/>
  <c r="R8" i="18"/>
  <c r="N8" i="18"/>
  <c r="M8" i="18" s="1"/>
  <c r="EV7" i="18"/>
  <c r="EU7" i="18" s="1"/>
  <c r="EP7" i="18"/>
  <c r="EO7" i="18"/>
  <c r="EN7" i="18"/>
  <c r="EJ7" i="18"/>
  <c r="EI7" i="18" s="1"/>
  <c r="ED7" i="18"/>
  <c r="EB7" i="18" s="1"/>
  <c r="DX7" i="18"/>
  <c r="DV7" i="18" s="1"/>
  <c r="DR7" i="18"/>
  <c r="DQ7" i="18"/>
  <c r="DP7" i="18"/>
  <c r="DL7" i="18"/>
  <c r="DK7" i="18" s="1"/>
  <c r="DF7" i="18"/>
  <c r="DD7" i="18" s="1"/>
  <c r="CZ7" i="18"/>
  <c r="CY7" i="18" s="1"/>
  <c r="CT7" i="18"/>
  <c r="CS7" i="18"/>
  <c r="CR7" i="18"/>
  <c r="CN7" i="18"/>
  <c r="CM7" i="18" s="1"/>
  <c r="CH7" i="18"/>
  <c r="CF7" i="18" s="1"/>
  <c r="CB7" i="18"/>
  <c r="BZ7" i="18" s="1"/>
  <c r="BV7" i="18"/>
  <c r="BU7" i="18"/>
  <c r="BT7" i="18"/>
  <c r="BP7" i="18"/>
  <c r="BO7" i="18" s="1"/>
  <c r="BJ7" i="18"/>
  <c r="BH7" i="18" s="1"/>
  <c r="BD7" i="18"/>
  <c r="BC7" i="18" s="1"/>
  <c r="AX7" i="18"/>
  <c r="AW7" i="18"/>
  <c r="AV7" i="18"/>
  <c r="AR7" i="18"/>
  <c r="AQ7" i="18" s="1"/>
  <c r="AL7" i="18"/>
  <c r="AJ7" i="18" s="1"/>
  <c r="AF7" i="18"/>
  <c r="AD7" i="18" s="1"/>
  <c r="Z7" i="18"/>
  <c r="Y7" i="18"/>
  <c r="X7" i="18"/>
  <c r="T7" i="18"/>
  <c r="S7" i="18" s="1"/>
  <c r="N7" i="18"/>
  <c r="L7" i="18" s="1"/>
  <c r="EV6" i="18"/>
  <c r="EU6" i="18" s="1"/>
  <c r="EP6" i="18"/>
  <c r="EN6" i="18" s="1"/>
  <c r="EO6" i="18"/>
  <c r="EJ6" i="18"/>
  <c r="EI6" i="18" s="1"/>
  <c r="EH6" i="18"/>
  <c r="ED6" i="18"/>
  <c r="EC6" i="18" s="1"/>
  <c r="DX6" i="18"/>
  <c r="DW6" i="18" s="1"/>
  <c r="DR6" i="18"/>
  <c r="DP6" i="18" s="1"/>
  <c r="DL6" i="18"/>
  <c r="DJ6" i="18" s="1"/>
  <c r="DK6" i="18"/>
  <c r="DF6" i="18"/>
  <c r="DE6" i="18" s="1"/>
  <c r="CZ6" i="18"/>
  <c r="CY6" i="18" s="1"/>
  <c r="CT6" i="18"/>
  <c r="CR6" i="18" s="1"/>
  <c r="CS6" i="18"/>
  <c r="CN6" i="18"/>
  <c r="CM6" i="18" s="1"/>
  <c r="CH6" i="18"/>
  <c r="CG6" i="18" s="1"/>
  <c r="CB6" i="18"/>
  <c r="CA6" i="18" s="1"/>
  <c r="BV6" i="18"/>
  <c r="BT6" i="18" s="1"/>
  <c r="BP6" i="18"/>
  <c r="BN6" i="18" s="1"/>
  <c r="BJ6" i="18"/>
  <c r="BI6" i="18" s="1"/>
  <c r="BD6" i="18"/>
  <c r="BC6" i="18" s="1"/>
  <c r="AX6" i="18"/>
  <c r="AV6" i="18" s="1"/>
  <c r="AW6" i="18"/>
  <c r="AR6" i="18"/>
  <c r="AQ6" i="18" s="1"/>
  <c r="AL6" i="18"/>
  <c r="AK6" i="18" s="1"/>
  <c r="AF6" i="18"/>
  <c r="AE6" i="18" s="1"/>
  <c r="Z6" i="18"/>
  <c r="X6" i="18" s="1"/>
  <c r="T6" i="18"/>
  <c r="R6" i="18" s="1"/>
  <c r="N6" i="18"/>
  <c r="M6" i="18" s="1"/>
  <c r="EV5" i="18"/>
  <c r="ET5" i="18" s="1"/>
  <c r="EP5" i="18"/>
  <c r="EO5" i="18"/>
  <c r="EN5" i="18"/>
  <c r="EJ5" i="18"/>
  <c r="EI5" i="18" s="1"/>
  <c r="ED5" i="18"/>
  <c r="EB5" i="18" s="1"/>
  <c r="DX5" i="18"/>
  <c r="DW5" i="18" s="1"/>
  <c r="DR5" i="18"/>
  <c r="DQ5" i="18"/>
  <c r="DP5" i="18"/>
  <c r="DL5" i="18"/>
  <c r="DK5" i="18" s="1"/>
  <c r="DF5" i="18"/>
  <c r="DD5" i="18" s="1"/>
  <c r="CZ5" i="18"/>
  <c r="CX5" i="18" s="1"/>
  <c r="CT5" i="18"/>
  <c r="CS5" i="18"/>
  <c r="CR5" i="18"/>
  <c r="CN5" i="18"/>
  <c r="CM5" i="18" s="1"/>
  <c r="CH5" i="18"/>
  <c r="CF5" i="18" s="1"/>
  <c r="CB5" i="18"/>
  <c r="CA5" i="18" s="1"/>
  <c r="BV5" i="18"/>
  <c r="BU5" i="18"/>
  <c r="BT5" i="18"/>
  <c r="BP5" i="18"/>
  <c r="BO5" i="18" s="1"/>
  <c r="BJ5" i="18"/>
  <c r="BH5" i="18" s="1"/>
  <c r="BD5" i="18"/>
  <c r="BB5" i="18" s="1"/>
  <c r="AX5" i="18"/>
  <c r="AW5" i="18"/>
  <c r="AV5" i="18"/>
  <c r="AR5" i="18"/>
  <c r="AQ5" i="18" s="1"/>
  <c r="AL5" i="18"/>
  <c r="AJ5" i="18" s="1"/>
  <c r="AF5" i="18"/>
  <c r="AE5" i="18" s="1"/>
  <c r="Z5" i="18"/>
  <c r="Y5" i="18"/>
  <c r="X5" i="18"/>
  <c r="T5" i="18"/>
  <c r="S5" i="18" s="1"/>
  <c r="N5" i="18"/>
  <c r="L5" i="18" s="1"/>
  <c r="EV4" i="18"/>
  <c r="EU4" i="18" s="1"/>
  <c r="EP4" i="18"/>
  <c r="EO4" i="18" s="1"/>
  <c r="EJ4" i="18"/>
  <c r="EH4" i="18" s="1"/>
  <c r="ED4" i="18"/>
  <c r="EC4" i="18" s="1"/>
  <c r="DX4" i="18"/>
  <c r="DW4" i="18" s="1"/>
  <c r="DR4" i="18"/>
  <c r="DQ4" i="18" s="1"/>
  <c r="DL4" i="18"/>
  <c r="DJ4" i="18" s="1"/>
  <c r="DF4" i="18"/>
  <c r="DE4" i="18" s="1"/>
  <c r="CZ4" i="18"/>
  <c r="CY4" i="18" s="1"/>
  <c r="CT4" i="18"/>
  <c r="CS4" i="18" s="1"/>
  <c r="CN4" i="18"/>
  <c r="CL4" i="18" s="1"/>
  <c r="CH4" i="18"/>
  <c r="CG4" i="18" s="1"/>
  <c r="CB4" i="18"/>
  <c r="CA4" i="18" s="1"/>
  <c r="BV4" i="18"/>
  <c r="BU4" i="18" s="1"/>
  <c r="BP4" i="18"/>
  <c r="BN4" i="18" s="1"/>
  <c r="BJ4" i="18"/>
  <c r="BI4" i="18" s="1"/>
  <c r="BD4" i="18"/>
  <c r="BC4" i="18" s="1"/>
  <c r="AX4" i="18"/>
  <c r="AW4" i="18" s="1"/>
  <c r="AR4" i="18"/>
  <c r="AP4" i="18" s="1"/>
  <c r="AL4" i="18"/>
  <c r="AK4" i="18" s="1"/>
  <c r="AF4" i="18"/>
  <c r="AE4" i="18" s="1"/>
  <c r="Z4" i="18"/>
  <c r="Y4" i="18" s="1"/>
  <c r="T4" i="18"/>
  <c r="R4" i="18" s="1"/>
  <c r="N4" i="18"/>
  <c r="M4" i="18" s="1"/>
  <c r="H14" i="18"/>
  <c r="H13" i="18"/>
  <c r="G13" i="18" s="1"/>
  <c r="F13" i="18"/>
  <c r="H12" i="18"/>
  <c r="H11" i="18"/>
  <c r="H10" i="18"/>
  <c r="G10" i="18" s="1"/>
  <c r="H9" i="18"/>
  <c r="F9" i="18" s="1"/>
  <c r="G9" i="18"/>
  <c r="H8" i="18"/>
  <c r="H7" i="18"/>
  <c r="G7" i="18" s="1"/>
  <c r="F7" i="18"/>
  <c r="H6" i="18"/>
  <c r="F6" i="18" s="1"/>
  <c r="H5" i="18"/>
  <c r="F5" i="18" s="1"/>
  <c r="G5" i="18"/>
  <c r="H4" i="18"/>
  <c r="F4" i="18" s="1"/>
  <c r="B36" i="13"/>
  <c r="A36" i="13"/>
  <c r="B35" i="13"/>
  <c r="A35" i="13"/>
  <c r="B34" i="13"/>
  <c r="A34" i="13"/>
  <c r="B33" i="13"/>
  <c r="A33" i="13"/>
  <c r="B32" i="13"/>
  <c r="A32" i="13"/>
  <c r="B31" i="13"/>
  <c r="A31" i="13"/>
  <c r="B30" i="13"/>
  <c r="A30" i="13"/>
  <c r="B29" i="13"/>
  <c r="A29" i="13"/>
  <c r="B28" i="13"/>
  <c r="A28" i="13"/>
  <c r="B27" i="13"/>
  <c r="A27" i="13"/>
  <c r="B26" i="13"/>
  <c r="A26" i="13"/>
  <c r="B25" i="13"/>
  <c r="A25" i="13"/>
  <c r="B24" i="13"/>
  <c r="A24" i="13"/>
  <c r="B23" i="13"/>
  <c r="A23" i="13"/>
  <c r="B22" i="13"/>
  <c r="A22" i="13"/>
  <c r="B21" i="13"/>
  <c r="A21" i="13"/>
  <c r="B20" i="13"/>
  <c r="A20" i="13"/>
  <c r="B19" i="13"/>
  <c r="A19" i="13"/>
  <c r="B18" i="13"/>
  <c r="A18" i="13"/>
  <c r="B17" i="13"/>
  <c r="A17" i="13"/>
  <c r="B16" i="13"/>
  <c r="A16" i="13"/>
  <c r="B15" i="13"/>
  <c r="A15" i="13"/>
  <c r="B14" i="13"/>
  <c r="A14" i="13"/>
  <c r="B13" i="13"/>
  <c r="A13" i="13"/>
  <c r="B12" i="13"/>
  <c r="A12" i="13"/>
  <c r="B11" i="13"/>
  <c r="A11" i="13"/>
  <c r="B10" i="13"/>
  <c r="A10" i="13"/>
  <c r="B9" i="13"/>
  <c r="A9" i="13"/>
  <c r="B8" i="13"/>
  <c r="A8" i="13"/>
  <c r="B7" i="13"/>
  <c r="A7" i="13"/>
  <c r="B6" i="13"/>
  <c r="A6" i="13"/>
  <c r="B36" i="12"/>
  <c r="A36" i="12"/>
  <c r="B35" i="12"/>
  <c r="A35" i="12"/>
  <c r="B34" i="12"/>
  <c r="A34" i="12"/>
  <c r="B33" i="12"/>
  <c r="A33" i="12"/>
  <c r="B32" i="12"/>
  <c r="A32" i="12"/>
  <c r="B31" i="12"/>
  <c r="A31" i="12"/>
  <c r="B30" i="12"/>
  <c r="A30" i="12"/>
  <c r="B29" i="12"/>
  <c r="A29" i="12"/>
  <c r="B28" i="12"/>
  <c r="A28" i="12"/>
  <c r="B27" i="12"/>
  <c r="A27" i="12"/>
  <c r="B26" i="12"/>
  <c r="A26" i="12"/>
  <c r="B25" i="12"/>
  <c r="A25" i="12"/>
  <c r="B24" i="12"/>
  <c r="A24" i="12"/>
  <c r="B23" i="12"/>
  <c r="A23" i="12"/>
  <c r="B22" i="12"/>
  <c r="A22" i="12"/>
  <c r="B21" i="12"/>
  <c r="A21" i="12"/>
  <c r="B20" i="12"/>
  <c r="A20" i="12"/>
  <c r="B19" i="12"/>
  <c r="A19" i="12"/>
  <c r="B18" i="12"/>
  <c r="A18" i="12"/>
  <c r="B17" i="12"/>
  <c r="A17" i="12"/>
  <c r="B16" i="12"/>
  <c r="A16" i="12"/>
  <c r="B15" i="12"/>
  <c r="A15" i="12"/>
  <c r="B14" i="12"/>
  <c r="A14" i="12"/>
  <c r="B13" i="12"/>
  <c r="A13" i="12"/>
  <c r="B12" i="12"/>
  <c r="A12" i="12"/>
  <c r="B11" i="12"/>
  <c r="A11" i="12"/>
  <c r="B10" i="12"/>
  <c r="A10" i="12"/>
  <c r="B9" i="12"/>
  <c r="A9" i="12"/>
  <c r="B8" i="12"/>
  <c r="A8" i="12"/>
  <c r="B7" i="12"/>
  <c r="A7" i="12"/>
  <c r="B6" i="12"/>
  <c r="A6" i="12"/>
  <c r="B36" i="11"/>
  <c r="A36" i="11"/>
  <c r="B35" i="11"/>
  <c r="A35" i="11"/>
  <c r="B34" i="11"/>
  <c r="A34" i="11"/>
  <c r="B33" i="11"/>
  <c r="A33" i="11"/>
  <c r="B32" i="11"/>
  <c r="A32" i="11"/>
  <c r="B31" i="11"/>
  <c r="A31" i="11"/>
  <c r="B30" i="11"/>
  <c r="A30" i="11"/>
  <c r="B29" i="11"/>
  <c r="A29" i="11"/>
  <c r="B28" i="11"/>
  <c r="A28" i="11"/>
  <c r="B27" i="11"/>
  <c r="A27" i="11"/>
  <c r="B26" i="11"/>
  <c r="A26" i="11"/>
  <c r="B25" i="11"/>
  <c r="A25" i="11"/>
  <c r="B24" i="11"/>
  <c r="A24" i="11"/>
  <c r="B23" i="11"/>
  <c r="A23" i="11"/>
  <c r="B22" i="11"/>
  <c r="A22" i="11"/>
  <c r="B21" i="11"/>
  <c r="A21" i="11"/>
  <c r="B20" i="11"/>
  <c r="A20" i="11"/>
  <c r="B19" i="11"/>
  <c r="A19" i="11"/>
  <c r="B18" i="11"/>
  <c r="A18" i="11"/>
  <c r="B17" i="11"/>
  <c r="A17" i="11"/>
  <c r="B16" i="11"/>
  <c r="A16" i="11"/>
  <c r="B15" i="11"/>
  <c r="A15" i="11"/>
  <c r="B14" i="11"/>
  <c r="A14" i="11"/>
  <c r="B13" i="11"/>
  <c r="A13" i="11"/>
  <c r="B12" i="11"/>
  <c r="A12" i="11"/>
  <c r="B11" i="11"/>
  <c r="A11" i="11"/>
  <c r="B10" i="11"/>
  <c r="A10" i="11"/>
  <c r="B9" i="11"/>
  <c r="A9" i="11"/>
  <c r="B8" i="11"/>
  <c r="A8" i="11"/>
  <c r="B7" i="11"/>
  <c r="A7" i="11"/>
  <c r="B6" i="11"/>
  <c r="A6" i="11"/>
  <c r="B36" i="10"/>
  <c r="A36" i="10"/>
  <c r="B35" i="10"/>
  <c r="A35" i="10"/>
  <c r="B34" i="10"/>
  <c r="A34" i="10"/>
  <c r="B33" i="10"/>
  <c r="A33" i="10"/>
  <c r="B32" i="10"/>
  <c r="A32" i="10"/>
  <c r="B31" i="10"/>
  <c r="A31" i="10"/>
  <c r="B30" i="10"/>
  <c r="A30" i="10"/>
  <c r="B29" i="10"/>
  <c r="A29" i="10"/>
  <c r="B28" i="10"/>
  <c r="A28" i="10"/>
  <c r="B27" i="10"/>
  <c r="A27" i="10"/>
  <c r="B26" i="10"/>
  <c r="A26" i="10"/>
  <c r="B25" i="10"/>
  <c r="A25" i="10"/>
  <c r="B24" i="10"/>
  <c r="A24" i="10"/>
  <c r="B23" i="10"/>
  <c r="A23" i="10"/>
  <c r="B22" i="10"/>
  <c r="A22" i="10"/>
  <c r="B21" i="10"/>
  <c r="A21" i="10"/>
  <c r="B20" i="10"/>
  <c r="A20" i="10"/>
  <c r="B19" i="10"/>
  <c r="A19" i="10"/>
  <c r="B18" i="10"/>
  <c r="A18" i="10"/>
  <c r="B17" i="10"/>
  <c r="A17" i="10"/>
  <c r="B16" i="10"/>
  <c r="A16" i="10"/>
  <c r="B15" i="10"/>
  <c r="A15" i="10"/>
  <c r="B14" i="10"/>
  <c r="A14" i="10"/>
  <c r="B13" i="10"/>
  <c r="A13" i="10"/>
  <c r="B12" i="10"/>
  <c r="A12" i="10"/>
  <c r="B11" i="10"/>
  <c r="A11" i="10"/>
  <c r="B10" i="10"/>
  <c r="A10" i="10"/>
  <c r="B9" i="10"/>
  <c r="A9" i="10"/>
  <c r="B8" i="10"/>
  <c r="A8" i="10"/>
  <c r="B7" i="10"/>
  <c r="A7" i="10"/>
  <c r="B6" i="10"/>
  <c r="A6" i="10"/>
  <c r="B36" i="9"/>
  <c r="A36" i="9"/>
  <c r="B35" i="9"/>
  <c r="A35" i="9"/>
  <c r="B34" i="9"/>
  <c r="A34" i="9"/>
  <c r="B33" i="9"/>
  <c r="A33" i="9"/>
  <c r="B32" i="9"/>
  <c r="A32" i="9"/>
  <c r="B31" i="9"/>
  <c r="A31" i="9"/>
  <c r="B30" i="9"/>
  <c r="A30" i="9"/>
  <c r="B29" i="9"/>
  <c r="A29" i="9"/>
  <c r="B28" i="9"/>
  <c r="A28" i="9"/>
  <c r="B27" i="9"/>
  <c r="A27" i="9"/>
  <c r="B26" i="9"/>
  <c r="A26" i="9"/>
  <c r="B25" i="9"/>
  <c r="A25" i="9"/>
  <c r="B24" i="9"/>
  <c r="A24" i="9"/>
  <c r="B23" i="9"/>
  <c r="A23" i="9"/>
  <c r="B22" i="9"/>
  <c r="A22" i="9"/>
  <c r="B21" i="9"/>
  <c r="A21" i="9"/>
  <c r="B20" i="9"/>
  <c r="A20" i="9"/>
  <c r="B19" i="9"/>
  <c r="A19" i="9"/>
  <c r="B18" i="9"/>
  <c r="A18" i="9"/>
  <c r="B17" i="9"/>
  <c r="A17" i="9"/>
  <c r="B16" i="9"/>
  <c r="A16" i="9"/>
  <c r="B15" i="9"/>
  <c r="A15" i="9"/>
  <c r="B14" i="9"/>
  <c r="A14" i="9"/>
  <c r="B13" i="9"/>
  <c r="A13" i="9"/>
  <c r="B12" i="9"/>
  <c r="A12" i="9"/>
  <c r="B11" i="9"/>
  <c r="A11" i="9"/>
  <c r="B10" i="9"/>
  <c r="A10" i="9"/>
  <c r="B9" i="9"/>
  <c r="A9" i="9"/>
  <c r="B8" i="9"/>
  <c r="A8" i="9"/>
  <c r="B7" i="9"/>
  <c r="A7" i="9"/>
  <c r="B6" i="9"/>
  <c r="A6" i="9"/>
  <c r="B36" i="8"/>
  <c r="A36" i="8"/>
  <c r="B35" i="8"/>
  <c r="A35" i="8"/>
  <c r="B34" i="8"/>
  <c r="A34" i="8"/>
  <c r="B33" i="8"/>
  <c r="A33" i="8"/>
  <c r="B32" i="8"/>
  <c r="A32" i="8"/>
  <c r="B31" i="8"/>
  <c r="A31" i="8"/>
  <c r="B30" i="8"/>
  <c r="A30" i="8"/>
  <c r="B29" i="8"/>
  <c r="A29" i="8"/>
  <c r="B28" i="8"/>
  <c r="A28" i="8"/>
  <c r="B27" i="8"/>
  <c r="A27" i="8"/>
  <c r="B26" i="8"/>
  <c r="A26" i="8"/>
  <c r="B25" i="8"/>
  <c r="A25" i="8"/>
  <c r="B24" i="8"/>
  <c r="A24" i="8"/>
  <c r="B23" i="8"/>
  <c r="A23" i="8"/>
  <c r="B22" i="8"/>
  <c r="A22" i="8"/>
  <c r="B21" i="8"/>
  <c r="A21" i="8"/>
  <c r="B20" i="8"/>
  <c r="A20" i="8"/>
  <c r="B19" i="8"/>
  <c r="A19" i="8"/>
  <c r="B18" i="8"/>
  <c r="A18" i="8"/>
  <c r="B17" i="8"/>
  <c r="A17" i="8"/>
  <c r="B16" i="8"/>
  <c r="A16" i="8"/>
  <c r="B15" i="8"/>
  <c r="A15" i="8"/>
  <c r="B14" i="8"/>
  <c r="A14" i="8"/>
  <c r="B13" i="8"/>
  <c r="A13" i="8"/>
  <c r="B12" i="8"/>
  <c r="A12" i="8"/>
  <c r="B11" i="8"/>
  <c r="A11" i="8"/>
  <c r="B10" i="8"/>
  <c r="A10" i="8"/>
  <c r="B9" i="8"/>
  <c r="A9" i="8"/>
  <c r="B8" i="8"/>
  <c r="A8" i="8"/>
  <c r="B7" i="8"/>
  <c r="A7" i="8"/>
  <c r="B6" i="8"/>
  <c r="A6" i="8"/>
  <c r="B36" i="7"/>
  <c r="A36" i="7"/>
  <c r="B35" i="7"/>
  <c r="A35" i="7"/>
  <c r="B34" i="7"/>
  <c r="A34" i="7"/>
  <c r="B33" i="7"/>
  <c r="A33" i="7"/>
  <c r="B32" i="7"/>
  <c r="A32" i="7"/>
  <c r="B31" i="7"/>
  <c r="A31" i="7"/>
  <c r="B30" i="7"/>
  <c r="A30" i="7"/>
  <c r="B29" i="7"/>
  <c r="A29" i="7"/>
  <c r="B28" i="7"/>
  <c r="A28" i="7"/>
  <c r="B27" i="7"/>
  <c r="A27" i="7"/>
  <c r="B26" i="7"/>
  <c r="A26" i="7"/>
  <c r="B25" i="7"/>
  <c r="A25" i="7"/>
  <c r="B24" i="7"/>
  <c r="A24" i="7"/>
  <c r="B23" i="7"/>
  <c r="A23" i="7"/>
  <c r="B22" i="7"/>
  <c r="A22" i="7"/>
  <c r="B21" i="7"/>
  <c r="A21" i="7"/>
  <c r="B20" i="7"/>
  <c r="A20" i="7"/>
  <c r="B19" i="7"/>
  <c r="A19" i="7"/>
  <c r="B18" i="7"/>
  <c r="A18" i="7"/>
  <c r="B17" i="7"/>
  <c r="A17" i="7"/>
  <c r="B16" i="7"/>
  <c r="A16" i="7"/>
  <c r="B15" i="7"/>
  <c r="A15" i="7"/>
  <c r="B14" i="7"/>
  <c r="A14" i="7"/>
  <c r="B13" i="7"/>
  <c r="A13" i="7"/>
  <c r="B12" i="7"/>
  <c r="A12" i="7"/>
  <c r="B11" i="7"/>
  <c r="A11" i="7"/>
  <c r="B10" i="7"/>
  <c r="A10" i="7"/>
  <c r="B9" i="7"/>
  <c r="A9" i="7"/>
  <c r="B8" i="7"/>
  <c r="A8" i="7"/>
  <c r="B7" i="7"/>
  <c r="A7" i="7"/>
  <c r="B6" i="7"/>
  <c r="A6" i="7"/>
  <c r="B36" i="6"/>
  <c r="A36" i="6"/>
  <c r="B35" i="6"/>
  <c r="A35" i="6"/>
  <c r="B34" i="6"/>
  <c r="A34" i="6"/>
  <c r="B33" i="6"/>
  <c r="A33" i="6"/>
  <c r="B32" i="6"/>
  <c r="A32" i="6"/>
  <c r="B31" i="6"/>
  <c r="A31" i="6"/>
  <c r="B30" i="6"/>
  <c r="A30" i="6"/>
  <c r="B29" i="6"/>
  <c r="A29" i="6"/>
  <c r="B28" i="6"/>
  <c r="A28" i="6"/>
  <c r="B27" i="6"/>
  <c r="A27" i="6"/>
  <c r="B26" i="6"/>
  <c r="A26" i="6"/>
  <c r="B25" i="6"/>
  <c r="A25" i="6"/>
  <c r="B24" i="6"/>
  <c r="A24" i="6"/>
  <c r="B23" i="6"/>
  <c r="A23" i="6"/>
  <c r="B22" i="6"/>
  <c r="A22" i="6"/>
  <c r="B21" i="6"/>
  <c r="A21" i="6"/>
  <c r="B20" i="6"/>
  <c r="A20" i="6"/>
  <c r="B19" i="6"/>
  <c r="A19" i="6"/>
  <c r="B18" i="6"/>
  <c r="A18" i="6"/>
  <c r="B17" i="6"/>
  <c r="A17" i="6"/>
  <c r="B16" i="6"/>
  <c r="A16" i="6"/>
  <c r="B15" i="6"/>
  <c r="A15" i="6"/>
  <c r="B14" i="6"/>
  <c r="A14" i="6"/>
  <c r="B13" i="6"/>
  <c r="A13" i="6"/>
  <c r="B12" i="6"/>
  <c r="A12" i="6"/>
  <c r="B11" i="6"/>
  <c r="A11" i="6"/>
  <c r="B10" i="6"/>
  <c r="A10" i="6"/>
  <c r="B9" i="6"/>
  <c r="A9" i="6"/>
  <c r="B8" i="6"/>
  <c r="A8" i="6"/>
  <c r="B7" i="6"/>
  <c r="A7" i="6"/>
  <c r="B6" i="6"/>
  <c r="A6" i="6"/>
  <c r="B36" i="5"/>
  <c r="A36" i="5"/>
  <c r="B35" i="5"/>
  <c r="A35" i="5"/>
  <c r="B34" i="5"/>
  <c r="A34" i="5"/>
  <c r="B33" i="5"/>
  <c r="A33" i="5"/>
  <c r="B32" i="5"/>
  <c r="A32" i="5"/>
  <c r="B31" i="5"/>
  <c r="A31" i="5"/>
  <c r="B30" i="5"/>
  <c r="A30" i="5"/>
  <c r="B29" i="5"/>
  <c r="A29" i="5"/>
  <c r="B28" i="5"/>
  <c r="A28" i="5"/>
  <c r="B27" i="5"/>
  <c r="A27" i="5"/>
  <c r="B26" i="5"/>
  <c r="A26" i="5"/>
  <c r="B25" i="5"/>
  <c r="A25" i="5"/>
  <c r="B24" i="5"/>
  <c r="A24" i="5"/>
  <c r="B23" i="5"/>
  <c r="A23" i="5"/>
  <c r="B22" i="5"/>
  <c r="A22" i="5"/>
  <c r="B21" i="5"/>
  <c r="A21" i="5"/>
  <c r="B20" i="5"/>
  <c r="A20" i="5"/>
  <c r="B19" i="5"/>
  <c r="A19" i="5"/>
  <c r="B18" i="5"/>
  <c r="A18" i="5"/>
  <c r="B17" i="5"/>
  <c r="A17" i="5"/>
  <c r="B16" i="5"/>
  <c r="A16" i="5"/>
  <c r="B15" i="5"/>
  <c r="A15" i="5"/>
  <c r="B14" i="5"/>
  <c r="A14" i="5"/>
  <c r="B13" i="5"/>
  <c r="A13" i="5"/>
  <c r="B12" i="5"/>
  <c r="A12" i="5"/>
  <c r="B11" i="5"/>
  <c r="A11" i="5"/>
  <c r="B10" i="5"/>
  <c r="A10" i="5"/>
  <c r="B9" i="5"/>
  <c r="A9" i="5"/>
  <c r="B8" i="5"/>
  <c r="A8" i="5"/>
  <c r="B7" i="5"/>
  <c r="A7" i="5"/>
  <c r="B6" i="5"/>
  <c r="A6" i="5"/>
  <c r="B36" i="4"/>
  <c r="A36" i="4"/>
  <c r="B35" i="4"/>
  <c r="A35" i="4"/>
  <c r="B34" i="4"/>
  <c r="A34" i="4"/>
  <c r="B33" i="4"/>
  <c r="A33" i="4"/>
  <c r="B32" i="4"/>
  <c r="A32" i="4"/>
  <c r="B31" i="4"/>
  <c r="A31" i="4"/>
  <c r="B30" i="4"/>
  <c r="A30" i="4"/>
  <c r="B29" i="4"/>
  <c r="A29" i="4"/>
  <c r="B28" i="4"/>
  <c r="A28" i="4"/>
  <c r="B27" i="4"/>
  <c r="A27" i="4"/>
  <c r="B26" i="4"/>
  <c r="A26" i="4"/>
  <c r="B25" i="4"/>
  <c r="A25" i="4"/>
  <c r="B24" i="4"/>
  <c r="A24" i="4"/>
  <c r="B23" i="4"/>
  <c r="A23" i="4"/>
  <c r="B22" i="4"/>
  <c r="A22" i="4"/>
  <c r="B21" i="4"/>
  <c r="A21" i="4"/>
  <c r="B20" i="4"/>
  <c r="A20" i="4"/>
  <c r="B19" i="4"/>
  <c r="A19" i="4"/>
  <c r="B18" i="4"/>
  <c r="A18" i="4"/>
  <c r="B17" i="4"/>
  <c r="A17" i="4"/>
  <c r="B16" i="4"/>
  <c r="A16" i="4"/>
  <c r="B15" i="4"/>
  <c r="A15" i="4"/>
  <c r="B14" i="4"/>
  <c r="A14" i="4"/>
  <c r="B13" i="4"/>
  <c r="A13" i="4"/>
  <c r="B12" i="4"/>
  <c r="A12" i="4"/>
  <c r="B11" i="4"/>
  <c r="A11" i="4"/>
  <c r="B10" i="4"/>
  <c r="A10" i="4"/>
  <c r="B9" i="4"/>
  <c r="A9" i="4"/>
  <c r="B8" i="4"/>
  <c r="A8" i="4"/>
  <c r="B7" i="4"/>
  <c r="A7" i="4"/>
  <c r="B6" i="4"/>
  <c r="A6" i="4"/>
  <c r="A9" i="3"/>
  <c r="D36" i="9"/>
  <c r="D35" i="9"/>
  <c r="D34" i="9"/>
  <c r="D33" i="9"/>
  <c r="D32" i="9"/>
  <c r="D31" i="9"/>
  <c r="D30" i="9"/>
  <c r="D29" i="9"/>
  <c r="D28" i="9"/>
  <c r="D27" i="9"/>
  <c r="D26" i="9"/>
  <c r="D25" i="9"/>
  <c r="D24" i="9"/>
  <c r="D23" i="9"/>
  <c r="D22" i="9"/>
  <c r="D21" i="9"/>
  <c r="D20" i="9"/>
  <c r="D19" i="9"/>
  <c r="D18" i="9"/>
  <c r="D17" i="9"/>
  <c r="D16" i="9"/>
  <c r="D15" i="9"/>
  <c r="D14" i="9"/>
  <c r="D13" i="9"/>
  <c r="D12" i="9"/>
  <c r="D11" i="9"/>
  <c r="D10" i="9"/>
  <c r="D9" i="9"/>
  <c r="D8" i="9"/>
  <c r="D7" i="9"/>
  <c r="D6"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I6" i="3"/>
  <c r="E35" i="3"/>
  <c r="D35" i="3"/>
  <c r="D21" i="1"/>
  <c r="A15" i="3"/>
  <c r="A36" i="3"/>
  <c r="A35" i="3"/>
  <c r="A34" i="3"/>
  <c r="A33" i="3"/>
  <c r="A32" i="3"/>
  <c r="A31" i="3"/>
  <c r="A30" i="3"/>
  <c r="A29" i="3"/>
  <c r="A28" i="3"/>
  <c r="A27" i="3"/>
  <c r="A26" i="3"/>
  <c r="A25" i="3"/>
  <c r="A24" i="3"/>
  <c r="A23" i="3"/>
  <c r="A22" i="3"/>
  <c r="A21" i="3"/>
  <c r="A20" i="3"/>
  <c r="A19" i="3"/>
  <c r="A18" i="3"/>
  <c r="A17" i="3"/>
  <c r="A16" i="3"/>
  <c r="A14" i="3"/>
  <c r="A13" i="3"/>
  <c r="A12" i="3"/>
  <c r="A11" i="3"/>
  <c r="A10" i="3"/>
  <c r="A8" i="3"/>
  <c r="A7" i="3"/>
  <c r="A6"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I36" i="13"/>
  <c r="E36" i="13"/>
  <c r="D36" i="13"/>
  <c r="I35" i="13"/>
  <c r="E35" i="13"/>
  <c r="D35" i="13"/>
  <c r="I34" i="13"/>
  <c r="E34" i="13"/>
  <c r="D34" i="13"/>
  <c r="I33" i="13"/>
  <c r="E33" i="13"/>
  <c r="D33" i="13"/>
  <c r="I32" i="13"/>
  <c r="E32" i="13"/>
  <c r="D32" i="13"/>
  <c r="I31" i="13"/>
  <c r="E31" i="13"/>
  <c r="D31" i="13"/>
  <c r="I30" i="13"/>
  <c r="E30" i="13"/>
  <c r="D30" i="13"/>
  <c r="I29" i="13"/>
  <c r="E29" i="13"/>
  <c r="D29" i="13"/>
  <c r="I28" i="13"/>
  <c r="E28" i="13"/>
  <c r="D28" i="13"/>
  <c r="I27" i="13"/>
  <c r="E27" i="13"/>
  <c r="D27" i="13"/>
  <c r="I26" i="13"/>
  <c r="E26" i="13"/>
  <c r="D26" i="13"/>
  <c r="I25" i="13"/>
  <c r="E25" i="13"/>
  <c r="D25" i="13"/>
  <c r="I24" i="13"/>
  <c r="E24" i="13"/>
  <c r="D24" i="13"/>
  <c r="I23" i="13"/>
  <c r="E23" i="13"/>
  <c r="D23" i="13"/>
  <c r="I22" i="13"/>
  <c r="E22" i="13"/>
  <c r="D22" i="13"/>
  <c r="I21" i="13"/>
  <c r="E21" i="13"/>
  <c r="D21" i="13"/>
  <c r="I20" i="13"/>
  <c r="E20" i="13"/>
  <c r="D20" i="13"/>
  <c r="I19" i="13"/>
  <c r="E19" i="13"/>
  <c r="D19" i="13"/>
  <c r="I18" i="13"/>
  <c r="E18" i="13"/>
  <c r="D18" i="13"/>
  <c r="I17" i="13"/>
  <c r="E17" i="13"/>
  <c r="D17" i="13"/>
  <c r="I16" i="13"/>
  <c r="E16" i="13"/>
  <c r="D16" i="13"/>
  <c r="I15" i="13"/>
  <c r="E15" i="13"/>
  <c r="D15" i="13"/>
  <c r="I14" i="13"/>
  <c r="E14" i="13"/>
  <c r="D14" i="13"/>
  <c r="I13" i="13"/>
  <c r="E13" i="13"/>
  <c r="D13" i="13"/>
  <c r="I12" i="13"/>
  <c r="E12" i="13"/>
  <c r="D12" i="13"/>
  <c r="I11" i="13"/>
  <c r="E11" i="13"/>
  <c r="D11" i="13"/>
  <c r="I10" i="13"/>
  <c r="E10" i="13"/>
  <c r="D10" i="13"/>
  <c r="I9" i="13"/>
  <c r="E9" i="13"/>
  <c r="D9" i="13"/>
  <c r="I8" i="13"/>
  <c r="E8" i="13"/>
  <c r="D8" i="13"/>
  <c r="I7" i="13"/>
  <c r="E7" i="13"/>
  <c r="D7" i="13"/>
  <c r="I6" i="13"/>
  <c r="E6" i="13"/>
  <c r="D6" i="13"/>
  <c r="I36" i="12"/>
  <c r="E36" i="12"/>
  <c r="D36" i="12"/>
  <c r="I35" i="12"/>
  <c r="E35" i="12"/>
  <c r="D35" i="12"/>
  <c r="I34" i="12"/>
  <c r="E34" i="12"/>
  <c r="D34" i="12"/>
  <c r="I33" i="12"/>
  <c r="E33" i="12"/>
  <c r="D33" i="12"/>
  <c r="I32" i="12"/>
  <c r="E32" i="12"/>
  <c r="D32" i="12"/>
  <c r="I31" i="12"/>
  <c r="E31" i="12"/>
  <c r="D31" i="12"/>
  <c r="I30" i="12"/>
  <c r="E30" i="12"/>
  <c r="D30" i="12"/>
  <c r="I29" i="12"/>
  <c r="E29" i="12"/>
  <c r="D29" i="12"/>
  <c r="I28" i="12"/>
  <c r="E28" i="12"/>
  <c r="D28" i="12"/>
  <c r="I27" i="12"/>
  <c r="E27" i="12"/>
  <c r="D27" i="12"/>
  <c r="I26" i="12"/>
  <c r="E26" i="12"/>
  <c r="D26" i="12"/>
  <c r="I25" i="12"/>
  <c r="E25" i="12"/>
  <c r="D25" i="12"/>
  <c r="I24" i="12"/>
  <c r="E24" i="12"/>
  <c r="D24" i="12"/>
  <c r="I23" i="12"/>
  <c r="E23" i="12"/>
  <c r="D23" i="12"/>
  <c r="I22" i="12"/>
  <c r="E22" i="12"/>
  <c r="D22" i="12"/>
  <c r="I21" i="12"/>
  <c r="E21" i="12"/>
  <c r="D21" i="12"/>
  <c r="I20" i="12"/>
  <c r="E20" i="12"/>
  <c r="D20" i="12"/>
  <c r="I19" i="12"/>
  <c r="E19" i="12"/>
  <c r="D19" i="12"/>
  <c r="I18" i="12"/>
  <c r="E18" i="12"/>
  <c r="D18" i="12"/>
  <c r="I17" i="12"/>
  <c r="E17" i="12"/>
  <c r="D17" i="12"/>
  <c r="I16" i="12"/>
  <c r="E16" i="12"/>
  <c r="D16" i="12"/>
  <c r="I15" i="12"/>
  <c r="E15" i="12"/>
  <c r="D15" i="12"/>
  <c r="I14" i="12"/>
  <c r="E14" i="12"/>
  <c r="D14" i="12"/>
  <c r="I13" i="12"/>
  <c r="E13" i="12"/>
  <c r="D13" i="12"/>
  <c r="I12" i="12"/>
  <c r="E12" i="12"/>
  <c r="D12" i="12"/>
  <c r="I11" i="12"/>
  <c r="E11" i="12"/>
  <c r="D11" i="12"/>
  <c r="I10" i="12"/>
  <c r="E10" i="12"/>
  <c r="D10" i="12"/>
  <c r="I9" i="12"/>
  <c r="E9" i="12"/>
  <c r="D9" i="12"/>
  <c r="I8" i="12"/>
  <c r="E8" i="12"/>
  <c r="D8" i="12"/>
  <c r="I7" i="12"/>
  <c r="E7" i="12"/>
  <c r="D7" i="12"/>
  <c r="I6" i="12"/>
  <c r="E6" i="12"/>
  <c r="D6" i="12"/>
  <c r="I36" i="11"/>
  <c r="E36" i="11"/>
  <c r="D36" i="11"/>
  <c r="I35" i="11"/>
  <c r="E35" i="11"/>
  <c r="D35" i="11"/>
  <c r="I34" i="11"/>
  <c r="E34" i="11"/>
  <c r="D34" i="11"/>
  <c r="I33" i="11"/>
  <c r="E33" i="11"/>
  <c r="D33" i="11"/>
  <c r="I32" i="11"/>
  <c r="E32" i="11"/>
  <c r="D32" i="11"/>
  <c r="I31" i="11"/>
  <c r="E31" i="11"/>
  <c r="D31" i="11"/>
  <c r="I30" i="11"/>
  <c r="E30" i="11"/>
  <c r="D30" i="11"/>
  <c r="I29" i="11"/>
  <c r="E29" i="11"/>
  <c r="D29" i="11"/>
  <c r="I28" i="11"/>
  <c r="E28" i="11"/>
  <c r="D28" i="11"/>
  <c r="I27" i="11"/>
  <c r="E27" i="11"/>
  <c r="D27" i="11"/>
  <c r="I26" i="11"/>
  <c r="E26" i="11"/>
  <c r="D26" i="11"/>
  <c r="I25" i="11"/>
  <c r="E25" i="11"/>
  <c r="D25" i="11"/>
  <c r="I24" i="11"/>
  <c r="E24" i="11"/>
  <c r="D24" i="11"/>
  <c r="I23" i="11"/>
  <c r="E23" i="11"/>
  <c r="D23" i="11"/>
  <c r="I22" i="11"/>
  <c r="E22" i="11"/>
  <c r="D22" i="11"/>
  <c r="I21" i="11"/>
  <c r="E21" i="11"/>
  <c r="D21" i="11"/>
  <c r="I20" i="11"/>
  <c r="E20" i="11"/>
  <c r="D20" i="11"/>
  <c r="I19" i="11"/>
  <c r="E19" i="11"/>
  <c r="D19" i="11"/>
  <c r="I18" i="11"/>
  <c r="E18" i="11"/>
  <c r="D18" i="11"/>
  <c r="I17" i="11"/>
  <c r="E17" i="11"/>
  <c r="D17" i="11"/>
  <c r="I16" i="11"/>
  <c r="E16" i="11"/>
  <c r="D16" i="11"/>
  <c r="I15" i="11"/>
  <c r="E15" i="11"/>
  <c r="D15" i="11"/>
  <c r="I14" i="11"/>
  <c r="E14" i="11"/>
  <c r="D14" i="11"/>
  <c r="I13" i="11"/>
  <c r="E13" i="11"/>
  <c r="D13" i="11"/>
  <c r="I12" i="11"/>
  <c r="E12" i="11"/>
  <c r="D12" i="11"/>
  <c r="I11" i="11"/>
  <c r="E11" i="11"/>
  <c r="D11" i="11"/>
  <c r="I10" i="11"/>
  <c r="E10" i="11"/>
  <c r="D10" i="11"/>
  <c r="I9" i="11"/>
  <c r="E9" i="11"/>
  <c r="D9" i="11"/>
  <c r="I8" i="11"/>
  <c r="E8" i="11"/>
  <c r="D8" i="11"/>
  <c r="I7" i="11"/>
  <c r="E7" i="11"/>
  <c r="D7" i="11"/>
  <c r="I6" i="11"/>
  <c r="E6" i="11"/>
  <c r="D6" i="11"/>
  <c r="I36" i="10"/>
  <c r="E36" i="10"/>
  <c r="D36" i="10"/>
  <c r="I35" i="10"/>
  <c r="E35" i="10"/>
  <c r="D35" i="10"/>
  <c r="I34" i="10"/>
  <c r="E34" i="10"/>
  <c r="D34" i="10"/>
  <c r="I33" i="10"/>
  <c r="E33" i="10"/>
  <c r="D33" i="10"/>
  <c r="I32" i="10"/>
  <c r="E32" i="10"/>
  <c r="D32" i="10"/>
  <c r="I31" i="10"/>
  <c r="E31" i="10"/>
  <c r="D31" i="10"/>
  <c r="I30" i="10"/>
  <c r="E30" i="10"/>
  <c r="D30" i="10"/>
  <c r="I29" i="10"/>
  <c r="E29" i="10"/>
  <c r="D29" i="10"/>
  <c r="I28" i="10"/>
  <c r="E28" i="10"/>
  <c r="D28" i="10"/>
  <c r="I27" i="10"/>
  <c r="E27" i="10"/>
  <c r="D27" i="10"/>
  <c r="I26" i="10"/>
  <c r="E26" i="10"/>
  <c r="D26" i="10"/>
  <c r="I25" i="10"/>
  <c r="E25" i="10"/>
  <c r="D25" i="10"/>
  <c r="I24" i="10"/>
  <c r="E24" i="10"/>
  <c r="D24" i="10"/>
  <c r="I23" i="10"/>
  <c r="E23" i="10"/>
  <c r="D23" i="10"/>
  <c r="I22" i="10"/>
  <c r="E22" i="10"/>
  <c r="D22" i="10"/>
  <c r="I21" i="10"/>
  <c r="E21" i="10"/>
  <c r="D21" i="10"/>
  <c r="I20" i="10"/>
  <c r="E20" i="10"/>
  <c r="D20" i="10"/>
  <c r="I19" i="10"/>
  <c r="E19" i="10"/>
  <c r="D19" i="10"/>
  <c r="I18" i="10"/>
  <c r="E18" i="10"/>
  <c r="D18" i="10"/>
  <c r="I17" i="10"/>
  <c r="E17" i="10"/>
  <c r="D17" i="10"/>
  <c r="I16" i="10"/>
  <c r="E16" i="10"/>
  <c r="D16" i="10"/>
  <c r="I15" i="10"/>
  <c r="E15" i="10"/>
  <c r="D15" i="10"/>
  <c r="I14" i="10"/>
  <c r="E14" i="10"/>
  <c r="D14" i="10"/>
  <c r="I13" i="10"/>
  <c r="E13" i="10"/>
  <c r="D13" i="10"/>
  <c r="I12" i="10"/>
  <c r="E12" i="10"/>
  <c r="D12" i="10"/>
  <c r="I11" i="10"/>
  <c r="E11" i="10"/>
  <c r="D11" i="10"/>
  <c r="I10" i="10"/>
  <c r="E10" i="10"/>
  <c r="D10" i="10"/>
  <c r="I9" i="10"/>
  <c r="E9" i="10"/>
  <c r="D9" i="10"/>
  <c r="I8" i="10"/>
  <c r="E8" i="10"/>
  <c r="D8" i="10"/>
  <c r="I7" i="10"/>
  <c r="E7" i="10"/>
  <c r="D7" i="10"/>
  <c r="I6" i="10"/>
  <c r="E6" i="10"/>
  <c r="D6" i="10"/>
  <c r="I36" i="9"/>
  <c r="I35" i="9"/>
  <c r="I34" i="9"/>
  <c r="I33" i="9"/>
  <c r="I32" i="9"/>
  <c r="I31" i="9"/>
  <c r="I30" i="9"/>
  <c r="I29" i="9"/>
  <c r="I28" i="9"/>
  <c r="I27" i="9"/>
  <c r="I26" i="9"/>
  <c r="I25" i="9"/>
  <c r="I24" i="9"/>
  <c r="I23" i="9"/>
  <c r="I22" i="9"/>
  <c r="I21" i="9"/>
  <c r="I20" i="9"/>
  <c r="I19" i="9"/>
  <c r="I18" i="9"/>
  <c r="I17" i="9"/>
  <c r="I16" i="9"/>
  <c r="I15" i="9"/>
  <c r="I14" i="9"/>
  <c r="I13" i="9"/>
  <c r="I12" i="9"/>
  <c r="I11" i="9"/>
  <c r="I10" i="9"/>
  <c r="I9" i="9"/>
  <c r="I8" i="9"/>
  <c r="I7" i="9"/>
  <c r="I6" i="9"/>
  <c r="I36" i="8"/>
  <c r="E36" i="8"/>
  <c r="D36" i="8"/>
  <c r="I35" i="8"/>
  <c r="E35" i="8"/>
  <c r="D35" i="8"/>
  <c r="I34" i="8"/>
  <c r="E34" i="8"/>
  <c r="D34" i="8"/>
  <c r="I33" i="8"/>
  <c r="E33" i="8"/>
  <c r="D33" i="8"/>
  <c r="I32" i="8"/>
  <c r="E32" i="8"/>
  <c r="D32" i="8"/>
  <c r="I31" i="8"/>
  <c r="E31" i="8"/>
  <c r="D31" i="8"/>
  <c r="I30" i="8"/>
  <c r="E30" i="8"/>
  <c r="D30" i="8"/>
  <c r="I29" i="8"/>
  <c r="E29" i="8"/>
  <c r="D29" i="8"/>
  <c r="I28" i="8"/>
  <c r="E28" i="8"/>
  <c r="D28" i="8"/>
  <c r="I27" i="8"/>
  <c r="E27" i="8"/>
  <c r="D27" i="8"/>
  <c r="I26" i="8"/>
  <c r="E26" i="8"/>
  <c r="D26" i="8"/>
  <c r="I25" i="8"/>
  <c r="E25" i="8"/>
  <c r="D25" i="8"/>
  <c r="I24" i="8"/>
  <c r="E24" i="8"/>
  <c r="D24" i="8"/>
  <c r="I23" i="8"/>
  <c r="E23" i="8"/>
  <c r="D23" i="8"/>
  <c r="I22" i="8"/>
  <c r="E22" i="8"/>
  <c r="D22" i="8"/>
  <c r="I21" i="8"/>
  <c r="E21" i="8"/>
  <c r="D21" i="8"/>
  <c r="I20" i="8"/>
  <c r="E20" i="8"/>
  <c r="D20" i="8"/>
  <c r="I19" i="8"/>
  <c r="E19" i="8"/>
  <c r="D19" i="8"/>
  <c r="I18" i="8"/>
  <c r="E18" i="8"/>
  <c r="D18" i="8"/>
  <c r="I17" i="8"/>
  <c r="E17" i="8"/>
  <c r="D17" i="8"/>
  <c r="I16" i="8"/>
  <c r="E16" i="8"/>
  <c r="D16" i="8"/>
  <c r="I15" i="8"/>
  <c r="E15" i="8"/>
  <c r="D15" i="8"/>
  <c r="I14" i="8"/>
  <c r="E14" i="8"/>
  <c r="D14" i="8"/>
  <c r="I13" i="8"/>
  <c r="E13" i="8"/>
  <c r="D13" i="8"/>
  <c r="I12" i="8"/>
  <c r="E12" i="8"/>
  <c r="D12" i="8"/>
  <c r="I11" i="8"/>
  <c r="E11" i="8"/>
  <c r="D11" i="8"/>
  <c r="I10" i="8"/>
  <c r="E10" i="8"/>
  <c r="D10" i="8"/>
  <c r="I9" i="8"/>
  <c r="E9" i="8"/>
  <c r="D9" i="8"/>
  <c r="I8" i="8"/>
  <c r="E8" i="8"/>
  <c r="D8" i="8"/>
  <c r="I7" i="8"/>
  <c r="E7" i="8"/>
  <c r="D7" i="8"/>
  <c r="I6" i="8"/>
  <c r="E6" i="8"/>
  <c r="D6" i="8"/>
  <c r="I36" i="7"/>
  <c r="E36" i="7"/>
  <c r="D36" i="7"/>
  <c r="I35" i="7"/>
  <c r="E35" i="7"/>
  <c r="D35" i="7"/>
  <c r="I34" i="7"/>
  <c r="E34" i="7"/>
  <c r="D34" i="7"/>
  <c r="I33" i="7"/>
  <c r="E33" i="7"/>
  <c r="D33" i="7"/>
  <c r="I32" i="7"/>
  <c r="E32" i="7"/>
  <c r="D32" i="7"/>
  <c r="I31" i="7"/>
  <c r="E31" i="7"/>
  <c r="D31" i="7"/>
  <c r="I30" i="7"/>
  <c r="E30" i="7"/>
  <c r="D30" i="7"/>
  <c r="I29" i="7"/>
  <c r="E29" i="7"/>
  <c r="D29" i="7"/>
  <c r="I28" i="7"/>
  <c r="E28" i="7"/>
  <c r="D28" i="7"/>
  <c r="I27" i="7"/>
  <c r="E27" i="7"/>
  <c r="D27" i="7"/>
  <c r="I26" i="7"/>
  <c r="E26" i="7"/>
  <c r="D26" i="7"/>
  <c r="I25" i="7"/>
  <c r="E25" i="7"/>
  <c r="D25" i="7"/>
  <c r="I24" i="7"/>
  <c r="E24" i="7"/>
  <c r="D24" i="7"/>
  <c r="I23" i="7"/>
  <c r="E23" i="7"/>
  <c r="D23" i="7"/>
  <c r="I22" i="7"/>
  <c r="E22" i="7"/>
  <c r="D22" i="7"/>
  <c r="I21" i="7"/>
  <c r="E21" i="7"/>
  <c r="D21" i="7"/>
  <c r="I20" i="7"/>
  <c r="E20" i="7"/>
  <c r="D20" i="7"/>
  <c r="I19" i="7"/>
  <c r="E19" i="7"/>
  <c r="D19" i="7"/>
  <c r="I18" i="7"/>
  <c r="E18" i="7"/>
  <c r="D18" i="7"/>
  <c r="I17" i="7"/>
  <c r="E17" i="7"/>
  <c r="D17" i="7"/>
  <c r="I16" i="7"/>
  <c r="E16" i="7"/>
  <c r="D16" i="7"/>
  <c r="I15" i="7"/>
  <c r="E15" i="7"/>
  <c r="D15" i="7"/>
  <c r="I14" i="7"/>
  <c r="E14" i="7"/>
  <c r="D14" i="7"/>
  <c r="I13" i="7"/>
  <c r="E13" i="7"/>
  <c r="D13" i="7"/>
  <c r="I12" i="7"/>
  <c r="E12" i="7"/>
  <c r="D12" i="7"/>
  <c r="I11" i="7"/>
  <c r="E11" i="7"/>
  <c r="D11" i="7"/>
  <c r="I10" i="7"/>
  <c r="E10" i="7"/>
  <c r="D10" i="7"/>
  <c r="I9" i="7"/>
  <c r="E9" i="7"/>
  <c r="D9" i="7"/>
  <c r="I8" i="7"/>
  <c r="E8" i="7"/>
  <c r="D8" i="7"/>
  <c r="I7" i="7"/>
  <c r="E7" i="7"/>
  <c r="D7" i="7"/>
  <c r="I6" i="7"/>
  <c r="E6" i="7"/>
  <c r="D6" i="7"/>
  <c r="I36" i="6"/>
  <c r="E36" i="6"/>
  <c r="D36" i="6"/>
  <c r="I35" i="6"/>
  <c r="E35" i="6"/>
  <c r="D35" i="6"/>
  <c r="I34" i="6"/>
  <c r="E34" i="6"/>
  <c r="D34" i="6"/>
  <c r="I33" i="6"/>
  <c r="E33" i="6"/>
  <c r="D33" i="6"/>
  <c r="I32" i="6"/>
  <c r="E32" i="6"/>
  <c r="D32" i="6"/>
  <c r="I31" i="6"/>
  <c r="E31" i="6"/>
  <c r="D31" i="6"/>
  <c r="I30" i="6"/>
  <c r="E30" i="6"/>
  <c r="D30" i="6"/>
  <c r="I29" i="6"/>
  <c r="E29" i="6"/>
  <c r="D29" i="6"/>
  <c r="I28" i="6"/>
  <c r="E28" i="6"/>
  <c r="D28" i="6"/>
  <c r="I27" i="6"/>
  <c r="E27" i="6"/>
  <c r="D27" i="6"/>
  <c r="I26" i="6"/>
  <c r="E26" i="6"/>
  <c r="D26" i="6"/>
  <c r="I25" i="6"/>
  <c r="E25" i="6"/>
  <c r="D25" i="6"/>
  <c r="I24" i="6"/>
  <c r="E24" i="6"/>
  <c r="D24" i="6"/>
  <c r="I23" i="6"/>
  <c r="E23" i="6"/>
  <c r="D23" i="6"/>
  <c r="I22" i="6"/>
  <c r="E22" i="6"/>
  <c r="D22" i="6"/>
  <c r="I21" i="6"/>
  <c r="E21" i="6"/>
  <c r="D21" i="6"/>
  <c r="I20" i="6"/>
  <c r="E20" i="6"/>
  <c r="D20" i="6"/>
  <c r="I19" i="6"/>
  <c r="E19" i="6"/>
  <c r="D19" i="6"/>
  <c r="I18" i="6"/>
  <c r="E18" i="6"/>
  <c r="D18" i="6"/>
  <c r="I17" i="6"/>
  <c r="E17" i="6"/>
  <c r="D17" i="6"/>
  <c r="I16" i="6"/>
  <c r="E16" i="6"/>
  <c r="D16" i="6"/>
  <c r="I15" i="6"/>
  <c r="E15" i="6"/>
  <c r="D15" i="6"/>
  <c r="I14" i="6"/>
  <c r="E14" i="6"/>
  <c r="D14" i="6"/>
  <c r="I13" i="6"/>
  <c r="E13" i="6"/>
  <c r="D13" i="6"/>
  <c r="I12" i="6"/>
  <c r="E12" i="6"/>
  <c r="D12" i="6"/>
  <c r="I11" i="6"/>
  <c r="E11" i="6"/>
  <c r="D11" i="6"/>
  <c r="I10" i="6"/>
  <c r="E10" i="6"/>
  <c r="D10" i="6"/>
  <c r="I9" i="6"/>
  <c r="E9" i="6"/>
  <c r="D9" i="6"/>
  <c r="I8" i="6"/>
  <c r="E8" i="6"/>
  <c r="D8" i="6"/>
  <c r="I7" i="6"/>
  <c r="E7" i="6"/>
  <c r="D7" i="6"/>
  <c r="I6" i="6"/>
  <c r="E6" i="6"/>
  <c r="D6" i="6"/>
  <c r="I36" i="5"/>
  <c r="E36" i="5"/>
  <c r="D36" i="5"/>
  <c r="I35" i="5"/>
  <c r="E35" i="5"/>
  <c r="D35" i="5"/>
  <c r="I34" i="5"/>
  <c r="E34" i="5"/>
  <c r="D34" i="5"/>
  <c r="I33" i="5"/>
  <c r="E33" i="5"/>
  <c r="D33" i="5"/>
  <c r="I32" i="5"/>
  <c r="E32" i="5"/>
  <c r="D32" i="5"/>
  <c r="I31" i="5"/>
  <c r="E31" i="5"/>
  <c r="D31" i="5"/>
  <c r="I30" i="5"/>
  <c r="E30" i="5"/>
  <c r="D30" i="5"/>
  <c r="I29" i="5"/>
  <c r="E29" i="5"/>
  <c r="D29" i="5"/>
  <c r="I28" i="5"/>
  <c r="E28" i="5"/>
  <c r="D28" i="5"/>
  <c r="I27" i="5"/>
  <c r="E27" i="5"/>
  <c r="D27" i="5"/>
  <c r="I26" i="5"/>
  <c r="E26" i="5"/>
  <c r="D26" i="5"/>
  <c r="I25" i="5"/>
  <c r="E25" i="5"/>
  <c r="D25" i="5"/>
  <c r="I24" i="5"/>
  <c r="E24" i="5"/>
  <c r="D24" i="5"/>
  <c r="I23" i="5"/>
  <c r="E23" i="5"/>
  <c r="D23" i="5"/>
  <c r="I22" i="5"/>
  <c r="E22" i="5"/>
  <c r="D22" i="5"/>
  <c r="I21" i="5"/>
  <c r="E21" i="5"/>
  <c r="D21" i="5"/>
  <c r="I20" i="5"/>
  <c r="E20" i="5"/>
  <c r="D20" i="5"/>
  <c r="I19" i="5"/>
  <c r="E19" i="5"/>
  <c r="D19" i="5"/>
  <c r="I18" i="5"/>
  <c r="E18" i="5"/>
  <c r="D18" i="5"/>
  <c r="I17" i="5"/>
  <c r="E17" i="5"/>
  <c r="D17" i="5"/>
  <c r="I16" i="5"/>
  <c r="E16" i="5"/>
  <c r="D16" i="5"/>
  <c r="I15" i="5"/>
  <c r="E15" i="5"/>
  <c r="D15" i="5"/>
  <c r="I14" i="5"/>
  <c r="E14" i="5"/>
  <c r="D14" i="5"/>
  <c r="I13" i="5"/>
  <c r="E13" i="5"/>
  <c r="D13" i="5"/>
  <c r="I12" i="5"/>
  <c r="E12" i="5"/>
  <c r="D12" i="5"/>
  <c r="I11" i="5"/>
  <c r="E11" i="5"/>
  <c r="D11" i="5"/>
  <c r="I10" i="5"/>
  <c r="E10" i="5"/>
  <c r="D10" i="5"/>
  <c r="I9" i="5"/>
  <c r="E9" i="5"/>
  <c r="D9" i="5"/>
  <c r="I8" i="5"/>
  <c r="E8" i="5"/>
  <c r="D8" i="5"/>
  <c r="I7" i="5"/>
  <c r="E7" i="5"/>
  <c r="D7" i="5"/>
  <c r="I6" i="5"/>
  <c r="E6" i="5"/>
  <c r="D6" i="5"/>
  <c r="I36" i="4"/>
  <c r="E36" i="4"/>
  <c r="D36" i="4"/>
  <c r="I35" i="4"/>
  <c r="E35" i="4"/>
  <c r="D35" i="4"/>
  <c r="I34" i="4"/>
  <c r="E34" i="4"/>
  <c r="D34" i="4"/>
  <c r="I33" i="4"/>
  <c r="E33" i="4"/>
  <c r="D33" i="4"/>
  <c r="I32" i="4"/>
  <c r="E32" i="4"/>
  <c r="D32" i="4"/>
  <c r="I31" i="4"/>
  <c r="E31" i="4"/>
  <c r="D31" i="4"/>
  <c r="I30" i="4"/>
  <c r="E30" i="4"/>
  <c r="D30" i="4"/>
  <c r="I29" i="4"/>
  <c r="E29" i="4"/>
  <c r="D29" i="4"/>
  <c r="I28" i="4"/>
  <c r="E28" i="4"/>
  <c r="D28" i="4"/>
  <c r="I27" i="4"/>
  <c r="E27" i="4"/>
  <c r="D27" i="4"/>
  <c r="I26" i="4"/>
  <c r="E26" i="4"/>
  <c r="D26" i="4"/>
  <c r="I25" i="4"/>
  <c r="E25" i="4"/>
  <c r="D25" i="4"/>
  <c r="I24" i="4"/>
  <c r="E24" i="4"/>
  <c r="D24" i="4"/>
  <c r="I23" i="4"/>
  <c r="E23" i="4"/>
  <c r="D23" i="4"/>
  <c r="I22" i="4"/>
  <c r="E22" i="4"/>
  <c r="D22" i="4"/>
  <c r="I21" i="4"/>
  <c r="E21" i="4"/>
  <c r="D21" i="4"/>
  <c r="I20" i="4"/>
  <c r="E20" i="4"/>
  <c r="D20" i="4"/>
  <c r="I19" i="4"/>
  <c r="E19" i="4"/>
  <c r="D19" i="4"/>
  <c r="I18" i="4"/>
  <c r="E18" i="4"/>
  <c r="D18" i="4"/>
  <c r="I17" i="4"/>
  <c r="E17" i="4"/>
  <c r="D17" i="4"/>
  <c r="I16" i="4"/>
  <c r="E16" i="4"/>
  <c r="D16" i="4"/>
  <c r="I15" i="4"/>
  <c r="E15" i="4"/>
  <c r="D15" i="4"/>
  <c r="I14" i="4"/>
  <c r="E14" i="4"/>
  <c r="D14" i="4"/>
  <c r="I13" i="4"/>
  <c r="E13" i="4"/>
  <c r="D13" i="4"/>
  <c r="I12" i="4"/>
  <c r="E12" i="4"/>
  <c r="D12" i="4"/>
  <c r="I11" i="4"/>
  <c r="E11" i="4"/>
  <c r="D11" i="4"/>
  <c r="I10" i="4"/>
  <c r="E10" i="4"/>
  <c r="D10" i="4"/>
  <c r="I9" i="4"/>
  <c r="E9" i="4"/>
  <c r="D9" i="4"/>
  <c r="I8" i="4"/>
  <c r="E8" i="4"/>
  <c r="D8" i="4"/>
  <c r="I7" i="4"/>
  <c r="E7" i="4"/>
  <c r="D7" i="4"/>
  <c r="I6" i="4"/>
  <c r="E6" i="4"/>
  <c r="D6" i="4"/>
  <c r="I36" i="3"/>
  <c r="E36" i="3"/>
  <c r="D36" i="3"/>
  <c r="I35" i="3"/>
  <c r="I34" i="3"/>
  <c r="E34" i="3"/>
  <c r="D34" i="3"/>
  <c r="I33" i="3"/>
  <c r="E33" i="3"/>
  <c r="D33" i="3"/>
  <c r="I32" i="3"/>
  <c r="E32" i="3"/>
  <c r="D32" i="3"/>
  <c r="I31" i="3"/>
  <c r="E31" i="3"/>
  <c r="D31" i="3"/>
  <c r="I30" i="3"/>
  <c r="E30" i="3"/>
  <c r="D30" i="3"/>
  <c r="I29" i="3"/>
  <c r="E29" i="3"/>
  <c r="D29" i="3"/>
  <c r="I28" i="3"/>
  <c r="E28" i="3"/>
  <c r="D28" i="3"/>
  <c r="I27" i="3"/>
  <c r="E27" i="3"/>
  <c r="D27" i="3"/>
  <c r="I26" i="3"/>
  <c r="E26" i="3"/>
  <c r="D26" i="3"/>
  <c r="I25" i="3"/>
  <c r="E25" i="3"/>
  <c r="D25" i="3"/>
  <c r="I24" i="3"/>
  <c r="E24" i="3"/>
  <c r="D24" i="3"/>
  <c r="I23" i="3"/>
  <c r="E23" i="3"/>
  <c r="D23" i="3"/>
  <c r="I22" i="3"/>
  <c r="E22" i="3"/>
  <c r="D22" i="3"/>
  <c r="I21" i="3"/>
  <c r="E21" i="3"/>
  <c r="D21" i="3"/>
  <c r="I20" i="3"/>
  <c r="E20" i="3"/>
  <c r="D20" i="3"/>
  <c r="I19" i="3"/>
  <c r="E19" i="3"/>
  <c r="D19" i="3"/>
  <c r="I18" i="3"/>
  <c r="E18" i="3"/>
  <c r="D18" i="3"/>
  <c r="I17" i="3"/>
  <c r="E17" i="3"/>
  <c r="D17" i="3"/>
  <c r="I16" i="3"/>
  <c r="E16" i="3"/>
  <c r="D16" i="3"/>
  <c r="I15" i="3"/>
  <c r="E15" i="3"/>
  <c r="D15" i="3"/>
  <c r="I14" i="3"/>
  <c r="E14" i="3"/>
  <c r="D14" i="3"/>
  <c r="I13" i="3"/>
  <c r="E13" i="3"/>
  <c r="D13" i="3"/>
  <c r="I12" i="3"/>
  <c r="E12" i="3"/>
  <c r="D12" i="3"/>
  <c r="I11" i="3"/>
  <c r="E11" i="3"/>
  <c r="D11" i="3"/>
  <c r="I10" i="3"/>
  <c r="E10" i="3"/>
  <c r="D10" i="3"/>
  <c r="I9" i="3"/>
  <c r="E9" i="3"/>
  <c r="D9" i="3"/>
  <c r="I8" i="3"/>
  <c r="E8" i="3"/>
  <c r="D8" i="3"/>
  <c r="I7" i="3"/>
  <c r="E7" i="3"/>
  <c r="D7" i="3"/>
  <c r="E6" i="3"/>
  <c r="D6" i="3"/>
  <c r="B21" i="1"/>
  <c r="CY9" i="18" l="1"/>
  <c r="EU9" i="18"/>
  <c r="BN11" i="18"/>
  <c r="DD13" i="18"/>
  <c r="X14" i="18"/>
  <c r="BZ14" i="18"/>
  <c r="GD5" i="18"/>
  <c r="FX9" i="18"/>
  <c r="GE11" i="18"/>
  <c r="AD4" i="18"/>
  <c r="BB4" i="18"/>
  <c r="BZ4" i="18"/>
  <c r="CX4" i="18"/>
  <c r="DV4" i="18"/>
  <c r="ET4" i="18"/>
  <c r="AD5" i="18"/>
  <c r="BC5" i="18"/>
  <c r="BZ5" i="18"/>
  <c r="CY5" i="18"/>
  <c r="DV5" i="18"/>
  <c r="EU5" i="18"/>
  <c r="AD6" i="18"/>
  <c r="BZ6" i="18"/>
  <c r="DV6" i="18"/>
  <c r="AE7" i="18"/>
  <c r="BB7" i="18"/>
  <c r="CA7" i="18"/>
  <c r="CX7" i="18"/>
  <c r="DW7" i="18"/>
  <c r="ET7" i="18"/>
  <c r="BB8" i="18"/>
  <c r="CX8" i="18"/>
  <c r="ET8" i="18"/>
  <c r="AE9" i="18"/>
  <c r="BC9" i="18"/>
  <c r="CR12" i="18"/>
  <c r="CF13" i="18"/>
  <c r="FF5" i="18"/>
  <c r="FR10" i="18"/>
  <c r="R11" i="18"/>
  <c r="DV12" i="18"/>
  <c r="DJ13" i="18"/>
  <c r="AD14" i="18"/>
  <c r="FL8" i="18"/>
  <c r="GD9" i="18"/>
  <c r="L4" i="18"/>
  <c r="AJ4" i="18"/>
  <c r="BH4" i="18"/>
  <c r="CF4" i="18"/>
  <c r="DD4" i="18"/>
  <c r="EB4" i="18"/>
  <c r="AK5" i="18"/>
  <c r="CG5" i="18"/>
  <c r="EC5" i="18"/>
  <c r="L6" i="18"/>
  <c r="AJ6" i="18"/>
  <c r="BH6" i="18"/>
  <c r="CF6" i="18"/>
  <c r="DD6" i="18"/>
  <c r="EB6" i="18"/>
  <c r="M7" i="18"/>
  <c r="BI7" i="18"/>
  <c r="DE7" i="18"/>
  <c r="L8" i="18"/>
  <c r="AJ8" i="18"/>
  <c r="BH8" i="18"/>
  <c r="CF8" i="18"/>
  <c r="DD8" i="18"/>
  <c r="EB8" i="18"/>
  <c r="DJ9" i="18"/>
  <c r="S10" i="18"/>
  <c r="BO10" i="18"/>
  <c r="EN10" i="18"/>
  <c r="EB11" i="18"/>
  <c r="AV12" i="18"/>
  <c r="CX12" i="18"/>
  <c r="AJ13" i="18"/>
  <c r="CL13" i="18"/>
  <c r="EN14" i="18"/>
  <c r="FR4" i="18"/>
  <c r="FX7" i="18"/>
  <c r="FF9" i="18"/>
  <c r="EZ13" i="18"/>
  <c r="F10" i="18"/>
  <c r="R5" i="18"/>
  <c r="BN5" i="18"/>
  <c r="DJ5" i="18"/>
  <c r="AP7" i="18"/>
  <c r="CL7" i="18"/>
  <c r="EH7" i="18"/>
  <c r="R9" i="18"/>
  <c r="AP9" i="18"/>
  <c r="BN9" i="18"/>
  <c r="DP10" i="18"/>
  <c r="DD11" i="18"/>
  <c r="X12" i="18"/>
  <c r="L13" i="18"/>
  <c r="DP14" i="18"/>
  <c r="EZ7" i="18"/>
  <c r="FL12" i="18"/>
  <c r="S4" i="18"/>
  <c r="AQ4" i="18"/>
  <c r="BO4" i="18"/>
  <c r="CM4" i="18"/>
  <c r="DK4" i="18"/>
  <c r="EI4" i="18"/>
  <c r="S6" i="18"/>
  <c r="AP6" i="18"/>
  <c r="BO6" i="18"/>
  <c r="CL6" i="18"/>
  <c r="FL4" i="18"/>
  <c r="FF4" i="18"/>
  <c r="GD4" i="18"/>
  <c r="FR5" i="18"/>
  <c r="FF6" i="18"/>
  <c r="GD6" i="18"/>
  <c r="FR7" i="18"/>
  <c r="FF8" i="18"/>
  <c r="GD8" i="18"/>
  <c r="FR9" i="18"/>
  <c r="FF10" i="18"/>
  <c r="GD10" i="18"/>
  <c r="FR11" i="18"/>
  <c r="FF12" i="18"/>
  <c r="GD12" i="18"/>
  <c r="FR13" i="18"/>
  <c r="FF14" i="18"/>
  <c r="GD14" i="18"/>
  <c r="EZ4" i="18"/>
  <c r="FX4" i="18"/>
  <c r="FL5" i="18"/>
  <c r="EZ6" i="18"/>
  <c r="FX6" i="18"/>
  <c r="FL7" i="18"/>
  <c r="EZ8" i="18"/>
  <c r="FX8" i="18"/>
  <c r="FL9" i="18"/>
  <c r="EZ10" i="18"/>
  <c r="FX10" i="18"/>
  <c r="FL11" i="18"/>
  <c r="EZ12" i="18"/>
  <c r="FX12" i="18"/>
  <c r="FL13" i="18"/>
  <c r="EZ14" i="18"/>
  <c r="FX14" i="18"/>
  <c r="DK10" i="18"/>
  <c r="DJ10" i="18"/>
  <c r="AE11" i="18"/>
  <c r="AD11" i="18"/>
  <c r="DW11" i="18"/>
  <c r="DV11" i="18"/>
  <c r="DE12" i="18"/>
  <c r="DD12" i="18"/>
  <c r="DQ13" i="18"/>
  <c r="DP13" i="18"/>
  <c r="AK14" i="18"/>
  <c r="AJ14" i="18"/>
  <c r="EC14" i="18"/>
  <c r="EB14" i="18"/>
  <c r="CG12" i="18"/>
  <c r="CF12" i="18"/>
  <c r="CS13" i="18"/>
  <c r="CR13" i="18"/>
  <c r="M14" i="18"/>
  <c r="L14" i="18"/>
  <c r="DE14" i="18"/>
  <c r="DD14" i="18"/>
  <c r="X4" i="18"/>
  <c r="AV4" i="18"/>
  <c r="BT4" i="18"/>
  <c r="CR4" i="18"/>
  <c r="DP4" i="18"/>
  <c r="EN4" i="18"/>
  <c r="M5" i="18"/>
  <c r="AP5" i="18"/>
  <c r="BI5" i="18"/>
  <c r="CL5" i="18"/>
  <c r="DE5" i="18"/>
  <c r="EH5" i="18"/>
  <c r="Y6" i="18"/>
  <c r="BB6" i="18"/>
  <c r="BU6" i="18"/>
  <c r="CX6" i="18"/>
  <c r="DQ6" i="18"/>
  <c r="ET6" i="18"/>
  <c r="R7" i="18"/>
  <c r="AK7" i="18"/>
  <c r="BN7" i="18"/>
  <c r="CG7" i="18"/>
  <c r="DJ7" i="18"/>
  <c r="EC7" i="18"/>
  <c r="AD8" i="18"/>
  <c r="AW8" i="18"/>
  <c r="BZ8" i="18"/>
  <c r="CS8" i="18"/>
  <c r="DV8" i="18"/>
  <c r="EO8" i="18"/>
  <c r="M9" i="18"/>
  <c r="DE9" i="18"/>
  <c r="DD9" i="18"/>
  <c r="Y10" i="18"/>
  <c r="X10" i="18"/>
  <c r="BU10" i="18"/>
  <c r="BT10" i="18"/>
  <c r="CA11" i="18"/>
  <c r="BZ11" i="18"/>
  <c r="Y13" i="18"/>
  <c r="X13" i="18"/>
  <c r="BZ9" i="18"/>
  <c r="CA9" i="18"/>
  <c r="DV9" i="18"/>
  <c r="DW9" i="18"/>
  <c r="AP10" i="18"/>
  <c r="AQ10" i="18"/>
  <c r="CL10" i="18"/>
  <c r="CM10" i="18"/>
  <c r="CY11" i="18"/>
  <c r="CX11" i="18"/>
  <c r="S12" i="18"/>
  <c r="R12" i="18"/>
  <c r="AK9" i="18"/>
  <c r="AJ9" i="18"/>
  <c r="BI9" i="18"/>
  <c r="BH9" i="18"/>
  <c r="CS9" i="18"/>
  <c r="CR9" i="18"/>
  <c r="EO9" i="18"/>
  <c r="EN9" i="18"/>
  <c r="M10" i="18"/>
  <c r="L10" i="18"/>
  <c r="BI10" i="18"/>
  <c r="BH10" i="18"/>
  <c r="EI10" i="18"/>
  <c r="EH10" i="18"/>
  <c r="BC11" i="18"/>
  <c r="BB11" i="18"/>
  <c r="EU11" i="18"/>
  <c r="ET11" i="18"/>
  <c r="DE10" i="18"/>
  <c r="EC10" i="18"/>
  <c r="Y11" i="18"/>
  <c r="AW11" i="18"/>
  <c r="BU11" i="18"/>
  <c r="CS11" i="18"/>
  <c r="DQ11" i="18"/>
  <c r="EO11" i="18"/>
  <c r="M12" i="18"/>
  <c r="AK12" i="18"/>
  <c r="BI12" i="18"/>
  <c r="BH12" i="18"/>
  <c r="BU13" i="18"/>
  <c r="BT13" i="18"/>
  <c r="CG14" i="18"/>
  <c r="CF14" i="18"/>
  <c r="EC12" i="18"/>
  <c r="EB12" i="18"/>
  <c r="AW13" i="18"/>
  <c r="AV13" i="18"/>
  <c r="EO13" i="18"/>
  <c r="EN13" i="18"/>
  <c r="BI14" i="18"/>
  <c r="BH14" i="18"/>
  <c r="AP12" i="18"/>
  <c r="BN12" i="18"/>
  <c r="CL12" i="18"/>
  <c r="DJ12" i="18"/>
  <c r="EH12" i="18"/>
  <c r="AD13" i="18"/>
  <c r="BB13" i="18"/>
  <c r="BZ13" i="18"/>
  <c r="CX13" i="18"/>
  <c r="DV13" i="18"/>
  <c r="ET13" i="18"/>
  <c r="R14" i="18"/>
  <c r="AP14" i="18"/>
  <c r="BN14" i="18"/>
  <c r="CL14" i="18"/>
  <c r="DJ14" i="18"/>
  <c r="EH14" i="18"/>
  <c r="G4" i="18"/>
  <c r="F6" i="1"/>
  <c r="G11" i="18"/>
  <c r="F11" i="18"/>
  <c r="G8" i="18"/>
  <c r="F8" i="18"/>
  <c r="G12" i="18"/>
  <c r="F12" i="18"/>
  <c r="G14" i="18"/>
  <c r="F14" i="18"/>
  <c r="G6" i="18"/>
  <c r="I6" i="16"/>
  <c r="G11" i="16"/>
  <c r="H12" i="16"/>
  <c r="I13" i="16"/>
  <c r="F14" i="16"/>
  <c r="G8" i="16"/>
  <c r="D12" i="16"/>
  <c r="H4" i="16"/>
  <c r="H20" i="16" s="1"/>
  <c r="I5" i="16"/>
  <c r="G7" i="16"/>
  <c r="I9" i="16"/>
  <c r="G4" i="16"/>
  <c r="G20" i="16" s="1"/>
  <c r="G12" i="16"/>
  <c r="J14" i="16"/>
  <c r="J6" i="16"/>
  <c r="H8" i="16"/>
  <c r="F10" i="16"/>
  <c r="J10" i="16"/>
  <c r="D10" i="16"/>
  <c r="H10" i="16"/>
  <c r="E10" i="16"/>
  <c r="G10" i="16"/>
  <c r="I10" i="16"/>
  <c r="D4" i="16"/>
  <c r="D20" i="16" s="1"/>
  <c r="E4" i="16"/>
  <c r="E20" i="16" s="1"/>
  <c r="I4" i="16"/>
  <c r="I20" i="16" s="1"/>
  <c r="F5" i="16"/>
  <c r="J5" i="16"/>
  <c r="G6" i="16"/>
  <c r="D7" i="16"/>
  <c r="H7" i="16"/>
  <c r="E8" i="16"/>
  <c r="I8" i="16"/>
  <c r="F9" i="16"/>
  <c r="J9" i="16"/>
  <c r="D11" i="16"/>
  <c r="H11" i="16"/>
  <c r="E12" i="16"/>
  <c r="I12" i="16"/>
  <c r="F13" i="16"/>
  <c r="J13" i="16"/>
  <c r="G14" i="16"/>
  <c r="F4" i="16"/>
  <c r="F20" i="16" s="1"/>
  <c r="J4" i="16"/>
  <c r="J20" i="16" s="1"/>
  <c r="G5" i="16"/>
  <c r="D6" i="16"/>
  <c r="H6" i="16"/>
  <c r="E7" i="16"/>
  <c r="I7" i="16"/>
  <c r="F8" i="16"/>
  <c r="J8" i="16"/>
  <c r="G9" i="16"/>
  <c r="E11" i="16"/>
  <c r="I11" i="16"/>
  <c r="F12" i="16"/>
  <c r="J12" i="16"/>
  <c r="G13" i="16"/>
  <c r="D14" i="16"/>
  <c r="H14" i="16"/>
  <c r="D5" i="16"/>
  <c r="H5" i="16"/>
  <c r="E6" i="16"/>
  <c r="F7" i="16"/>
  <c r="J7" i="16"/>
  <c r="D9" i="16"/>
  <c r="H9" i="16"/>
  <c r="F11" i="16"/>
  <c r="J11" i="16"/>
  <c r="D13" i="16"/>
  <c r="H13" i="16"/>
  <c r="E14" i="16"/>
  <c r="I14" i="16"/>
  <c r="E5" i="16"/>
  <c r="F6" i="16"/>
  <c r="D8" i="16"/>
  <c r="E9" i="16"/>
  <c r="E13" i="16"/>
  <c r="F14" i="1"/>
  <c r="F13" i="1"/>
  <c r="F9" i="1"/>
  <c r="F10" i="1"/>
  <c r="F11" i="1"/>
  <c r="F8" i="1"/>
  <c r="F12" i="1"/>
  <c r="F16" i="1"/>
  <c r="F7" i="1"/>
  <c r="F15" i="1"/>
  <c r="H9" i="6"/>
  <c r="H21" i="6"/>
  <c r="H25" i="6"/>
  <c r="H29" i="6"/>
  <c r="H12" i="6"/>
  <c r="H24" i="6"/>
  <c r="H32" i="6"/>
  <c r="H36" i="6"/>
  <c r="H21" i="7"/>
  <c r="H26" i="8"/>
  <c r="H13" i="11"/>
  <c r="H15" i="3"/>
  <c r="H19" i="3"/>
  <c r="H12" i="4"/>
  <c r="H19" i="11"/>
  <c r="H31" i="11"/>
  <c r="H35" i="11"/>
  <c r="H8" i="12"/>
  <c r="H12" i="12"/>
  <c r="H16" i="12"/>
  <c r="H20" i="12"/>
  <c r="H24" i="12"/>
  <c r="H28" i="12"/>
  <c r="H32" i="12"/>
  <c r="H36" i="12"/>
  <c r="H9" i="13"/>
  <c r="H13" i="13"/>
  <c r="H16" i="4"/>
  <c r="H17" i="4"/>
  <c r="H21" i="4"/>
  <c r="H17" i="13"/>
  <c r="H21" i="13"/>
  <c r="H25" i="13"/>
  <c r="H29" i="13"/>
  <c r="H33" i="13"/>
  <c r="H14" i="11"/>
  <c r="H14" i="4"/>
  <c r="H12" i="3"/>
  <c r="H16" i="3"/>
  <c r="H20" i="3"/>
  <c r="H28" i="3"/>
  <c r="H36" i="3"/>
  <c r="H8" i="3"/>
  <c r="H18" i="4"/>
  <c r="H13" i="5"/>
  <c r="H14" i="6"/>
  <c r="H34" i="6"/>
  <c r="H23" i="7"/>
  <c r="H31" i="7"/>
  <c r="H28" i="8"/>
  <c r="H9" i="9"/>
  <c r="H13" i="9"/>
  <c r="H25" i="9"/>
  <c r="H29" i="9"/>
  <c r="H21" i="5"/>
  <c r="H10" i="6"/>
  <c r="H14" i="3"/>
  <c r="H18" i="3"/>
  <c r="H22" i="3"/>
  <c r="H30" i="3"/>
  <c r="H15" i="4"/>
  <c r="H19" i="4"/>
  <c r="H22" i="4"/>
  <c r="H20" i="9"/>
  <c r="H28" i="9"/>
  <c r="H9" i="10"/>
  <c r="H13" i="10"/>
  <c r="H16" i="10"/>
  <c r="H21" i="10"/>
  <c r="H24" i="10"/>
  <c r="H6" i="11"/>
  <c r="H22" i="11"/>
  <c r="H25" i="11"/>
  <c r="H6" i="12"/>
  <c r="H28" i="4"/>
  <c r="H9" i="5"/>
  <c r="H30" i="6"/>
  <c r="H7" i="7"/>
  <c r="H11" i="6"/>
  <c r="H23" i="6"/>
  <c r="H35" i="6"/>
  <c r="H25" i="8"/>
  <c r="H6" i="9"/>
  <c r="H16" i="11"/>
  <c r="H6" i="4"/>
  <c r="H6" i="7"/>
  <c r="H15" i="8"/>
  <c r="H23" i="8"/>
  <c r="H8" i="9"/>
  <c r="H24" i="9"/>
  <c r="H18" i="11"/>
  <c r="H20" i="11"/>
  <c r="H32" i="4"/>
  <c r="H33" i="4"/>
  <c r="H18" i="5"/>
  <c r="H26" i="5"/>
  <c r="H7" i="6"/>
  <c r="H36" i="8"/>
  <c r="H17" i="9"/>
  <c r="H30" i="9"/>
  <c r="H8" i="10"/>
  <c r="H27" i="10"/>
  <c r="H28" i="10"/>
  <c r="H36" i="10"/>
  <c r="H29" i="11"/>
  <c r="H33" i="11"/>
  <c r="H10" i="12"/>
  <c r="H14" i="12"/>
  <c r="H18" i="12"/>
  <c r="H22" i="12"/>
  <c r="H26" i="12"/>
  <c r="H30" i="12"/>
  <c r="H34" i="12"/>
  <c r="H7" i="13"/>
  <c r="H11" i="13"/>
  <c r="H15" i="13"/>
  <c r="H19" i="13"/>
  <c r="H23" i="13"/>
  <c r="H27" i="13"/>
  <c r="H31" i="13"/>
  <c r="H35" i="13"/>
  <c r="H27" i="8"/>
  <c r="H18" i="10"/>
  <c r="H26" i="10"/>
  <c r="H23" i="11"/>
  <c r="H31" i="4"/>
  <c r="H34" i="4"/>
  <c r="H35" i="4"/>
  <c r="H8" i="5"/>
  <c r="H12" i="5"/>
  <c r="H20" i="5"/>
  <c r="H28" i="5"/>
  <c r="H29" i="7"/>
  <c r="H34" i="8"/>
  <c r="H19" i="9"/>
  <c r="H27" i="9"/>
  <c r="H32" i="9"/>
  <c r="H25" i="10"/>
  <c r="H34" i="10"/>
  <c r="H6" i="3"/>
  <c r="H23" i="3"/>
  <c r="H26" i="3"/>
  <c r="H27" i="3"/>
  <c r="H20" i="4"/>
  <c r="H30" i="4"/>
  <c r="H14" i="5"/>
  <c r="H29" i="5"/>
  <c r="H33" i="5"/>
  <c r="H15" i="6"/>
  <c r="H31" i="6"/>
  <c r="H8" i="7"/>
  <c r="H11" i="7"/>
  <c r="H12" i="7"/>
  <c r="H15" i="7"/>
  <c r="H19" i="7"/>
  <c r="H20" i="7"/>
  <c r="H33" i="7"/>
  <c r="H7" i="8"/>
  <c r="H8" i="8"/>
  <c r="H16" i="8"/>
  <c r="H19" i="8"/>
  <c r="H20" i="8"/>
  <c r="H11" i="9"/>
  <c r="H12" i="9"/>
  <c r="H16" i="9"/>
  <c r="H21" i="9"/>
  <c r="H35" i="9"/>
  <c r="H36" i="9"/>
  <c r="H10" i="10"/>
  <c r="H11" i="10"/>
  <c r="H12" i="10"/>
  <c r="H19" i="10"/>
  <c r="H20" i="10"/>
  <c r="H35" i="10"/>
  <c r="H7" i="11"/>
  <c r="H12" i="11"/>
  <c r="H24" i="3"/>
  <c r="H25" i="3"/>
  <c r="H29" i="3"/>
  <c r="H36" i="4"/>
  <c r="H16" i="5"/>
  <c r="H17" i="5"/>
  <c r="H31" i="5"/>
  <c r="H13" i="6"/>
  <c r="H10" i="7"/>
  <c r="H17" i="7"/>
  <c r="H18" i="7"/>
  <c r="H22" i="7"/>
  <c r="H32" i="7"/>
  <c r="H9" i="8"/>
  <c r="H13" i="8"/>
  <c r="H14" i="8"/>
  <c r="H18" i="8"/>
  <c r="H30" i="8"/>
  <c r="H35" i="8"/>
  <c r="H14" i="9"/>
  <c r="H22" i="9"/>
  <c r="H33" i="9"/>
  <c r="H17" i="10"/>
  <c r="H29" i="10"/>
  <c r="H32" i="10"/>
  <c r="H9" i="11"/>
  <c r="H10" i="11"/>
  <c r="H21" i="11"/>
  <c r="H26" i="11"/>
  <c r="H31" i="3"/>
  <c r="H7" i="4"/>
  <c r="H10" i="4"/>
  <c r="H11" i="4"/>
  <c r="H13" i="4"/>
  <c r="H24" i="4"/>
  <c r="H25" i="4"/>
  <c r="H24" i="5"/>
  <c r="H25" i="5"/>
  <c r="H7" i="3"/>
  <c r="H21" i="3"/>
  <c r="H32" i="3"/>
  <c r="H33" i="3"/>
  <c r="H8" i="4"/>
  <c r="H9" i="4"/>
  <c r="H23" i="4"/>
  <c r="H26" i="4"/>
  <c r="H27" i="4"/>
  <c r="H29" i="4"/>
  <c r="H6" i="5"/>
  <c r="H10" i="5"/>
  <c r="H11" i="5"/>
  <c r="H15" i="5"/>
  <c r="H22" i="5"/>
  <c r="H27" i="5"/>
  <c r="H30" i="5"/>
  <c r="H34" i="5"/>
  <c r="H16" i="6"/>
  <c r="H19" i="6"/>
  <c r="H20" i="6"/>
  <c r="H22" i="6"/>
  <c r="H26" i="6"/>
  <c r="H33" i="6"/>
  <c r="H13" i="7"/>
  <c r="H14" i="7"/>
  <c r="H16" i="7"/>
  <c r="H25" i="7"/>
  <c r="H26" i="7"/>
  <c r="H35" i="7"/>
  <c r="H36" i="7"/>
  <c r="H6" i="8"/>
  <c r="H10" i="8"/>
  <c r="H17" i="8"/>
  <c r="H32" i="8"/>
  <c r="H33" i="8"/>
  <c r="H15" i="9"/>
  <c r="H18" i="9"/>
  <c r="H31" i="9"/>
  <c r="H34" i="9"/>
  <c r="H14" i="10"/>
  <c r="H15" i="10"/>
  <c r="H30" i="10"/>
  <c r="H31" i="10"/>
  <c r="H8" i="11"/>
  <c r="H15" i="11"/>
  <c r="H30" i="11"/>
  <c r="H34" i="11"/>
  <c r="H7" i="12"/>
  <c r="H11" i="12"/>
  <c r="H15" i="12"/>
  <c r="H19" i="12"/>
  <c r="H23" i="12"/>
  <c r="H27" i="12"/>
  <c r="H31" i="12"/>
  <c r="H35" i="12"/>
  <c r="H8" i="13"/>
  <c r="H12" i="13"/>
  <c r="H16" i="13"/>
  <c r="H20" i="13"/>
  <c r="H24" i="13"/>
  <c r="H28" i="13"/>
  <c r="H32" i="13"/>
  <c r="H36" i="13"/>
  <c r="H32" i="5"/>
  <c r="H36" i="5"/>
  <c r="H6" i="6"/>
  <c r="H8" i="6"/>
  <c r="H17" i="6"/>
  <c r="H18" i="6"/>
  <c r="H27" i="6"/>
  <c r="H28" i="6"/>
  <c r="H9" i="7"/>
  <c r="H24" i="7"/>
  <c r="H27" i="7"/>
  <c r="H28" i="7"/>
  <c r="H30" i="7"/>
  <c r="H34" i="7"/>
  <c r="H11" i="8"/>
  <c r="H12" i="8"/>
  <c r="H21" i="8"/>
  <c r="H22" i="8"/>
  <c r="H24" i="8"/>
  <c r="H29" i="8"/>
  <c r="H31" i="8"/>
  <c r="H7" i="9"/>
  <c r="H10" i="9"/>
  <c r="H23" i="9"/>
  <c r="H26" i="9"/>
  <c r="H6" i="10"/>
  <c r="H7" i="10"/>
  <c r="H22" i="10"/>
  <c r="H23" i="10"/>
  <c r="H33" i="10"/>
  <c r="H11" i="11"/>
  <c r="H17" i="11"/>
  <c r="H24" i="11"/>
  <c r="H27" i="11"/>
  <c r="H28" i="11"/>
  <c r="H32" i="11"/>
  <c r="H36" i="11"/>
  <c r="H9" i="12"/>
  <c r="H13" i="12"/>
  <c r="H17" i="12"/>
  <c r="H21" i="12"/>
  <c r="H25" i="12"/>
  <c r="H29" i="12"/>
  <c r="H33" i="12"/>
  <c r="H6" i="13"/>
  <c r="H10" i="13"/>
  <c r="H14" i="13"/>
  <c r="H18" i="13"/>
  <c r="H22" i="13"/>
  <c r="H26" i="13"/>
  <c r="H30" i="13"/>
  <c r="H34" i="13"/>
  <c r="H19" i="5"/>
  <c r="H35" i="5"/>
  <c r="H7" i="5"/>
  <c r="H23" i="5"/>
  <c r="H35" i="3"/>
  <c r="H10" i="3"/>
  <c r="H11" i="3"/>
  <c r="H34" i="3"/>
  <c r="H9" i="3"/>
  <c r="H13" i="3"/>
  <c r="H17" i="3"/>
  <c r="G7" i="1" l="1"/>
  <c r="G13" i="1"/>
  <c r="G11" i="1"/>
  <c r="G14" i="1"/>
  <c r="G16" i="1"/>
  <c r="G10" i="1"/>
  <c r="G8" i="1"/>
  <c r="G15" i="1"/>
  <c r="G12" i="1"/>
  <c r="G9" i="1"/>
  <c r="G6" i="1"/>
  <c r="L8" i="1"/>
  <c r="L15" i="1"/>
  <c r="G23" i="5"/>
  <c r="F23" i="5"/>
  <c r="F34" i="13"/>
  <c r="G34" i="13"/>
  <c r="F33" i="12"/>
  <c r="G33" i="12"/>
  <c r="G32" i="11"/>
  <c r="F32" i="11"/>
  <c r="G22" i="10"/>
  <c r="F22" i="10"/>
  <c r="G29" i="8"/>
  <c r="F29" i="8"/>
  <c r="G28" i="7"/>
  <c r="F28" i="7"/>
  <c r="F8" i="6"/>
  <c r="G8" i="6"/>
  <c r="G36" i="13"/>
  <c r="F36" i="13"/>
  <c r="G35" i="12"/>
  <c r="F35" i="12"/>
  <c r="F34" i="11"/>
  <c r="G34" i="11"/>
  <c r="F34" i="9"/>
  <c r="G34" i="9"/>
  <c r="G33" i="8"/>
  <c r="F33" i="8"/>
  <c r="F25" i="7"/>
  <c r="G25" i="7"/>
  <c r="F19" i="6"/>
  <c r="G19" i="6"/>
  <c r="F10" i="5"/>
  <c r="G10" i="5"/>
  <c r="G26" i="4"/>
  <c r="F26" i="4"/>
  <c r="F25" i="5"/>
  <c r="G25" i="5"/>
  <c r="F31" i="3"/>
  <c r="G31" i="3"/>
  <c r="F33" i="9"/>
  <c r="G33" i="9"/>
  <c r="G30" i="8"/>
  <c r="F30" i="8"/>
  <c r="F17" i="7"/>
  <c r="G17" i="7"/>
  <c r="F25" i="3"/>
  <c r="G25" i="3"/>
  <c r="G11" i="10"/>
  <c r="F11" i="10"/>
  <c r="G21" i="9"/>
  <c r="F21" i="9"/>
  <c r="F7" i="8"/>
  <c r="G7" i="8"/>
  <c r="F31" i="6"/>
  <c r="G31" i="6"/>
  <c r="G26" i="3"/>
  <c r="F26" i="3"/>
  <c r="F25" i="10"/>
  <c r="G25" i="10"/>
  <c r="G12" i="5"/>
  <c r="F12" i="5"/>
  <c r="F27" i="8"/>
  <c r="G27" i="8"/>
  <c r="F23" i="13"/>
  <c r="G23" i="13"/>
  <c r="G22" i="12"/>
  <c r="F22" i="12"/>
  <c r="G27" i="10"/>
  <c r="F27" i="10"/>
  <c r="F33" i="4"/>
  <c r="G33" i="4"/>
  <c r="G18" i="3"/>
  <c r="F18" i="3"/>
  <c r="G17" i="3"/>
  <c r="F17" i="3"/>
  <c r="F11" i="3"/>
  <c r="G11" i="3"/>
  <c r="G7" i="5"/>
  <c r="F7" i="5"/>
  <c r="G19" i="5"/>
  <c r="F19" i="5"/>
  <c r="F30" i="13"/>
  <c r="G30" i="13"/>
  <c r="F14" i="13"/>
  <c r="G14" i="13"/>
  <c r="F29" i="12"/>
  <c r="G29" i="12"/>
  <c r="F13" i="12"/>
  <c r="G13" i="12"/>
  <c r="G28" i="11"/>
  <c r="F28" i="11"/>
  <c r="F11" i="11"/>
  <c r="G11" i="11"/>
  <c r="G7" i="10"/>
  <c r="F7" i="10"/>
  <c r="F10" i="9"/>
  <c r="G10" i="9"/>
  <c r="G24" i="8"/>
  <c r="F24" i="8"/>
  <c r="F11" i="8"/>
  <c r="G11" i="8"/>
  <c r="G27" i="7"/>
  <c r="F27" i="7"/>
  <c r="F27" i="6"/>
  <c r="G27" i="6"/>
  <c r="G6" i="6"/>
  <c r="F6" i="6"/>
  <c r="G32" i="13"/>
  <c r="F32" i="13"/>
  <c r="G16" i="13"/>
  <c r="F16" i="13"/>
  <c r="G31" i="12"/>
  <c r="F31" i="12"/>
  <c r="G15" i="12"/>
  <c r="F15" i="12"/>
  <c r="F30" i="11"/>
  <c r="G30" i="11"/>
  <c r="G30" i="10"/>
  <c r="F30" i="10"/>
  <c r="F31" i="9"/>
  <c r="G31" i="9"/>
  <c r="G32" i="8"/>
  <c r="F32" i="8"/>
  <c r="G36" i="7"/>
  <c r="F36" i="7"/>
  <c r="G16" i="7"/>
  <c r="F16" i="7"/>
  <c r="F26" i="6"/>
  <c r="G26" i="6"/>
  <c r="F16" i="6"/>
  <c r="G16" i="6"/>
  <c r="F22" i="5"/>
  <c r="G22" i="5"/>
  <c r="G6" i="5"/>
  <c r="F6" i="5"/>
  <c r="G23" i="4"/>
  <c r="F23" i="4"/>
  <c r="F32" i="3"/>
  <c r="G32" i="3"/>
  <c r="G24" i="5"/>
  <c r="F24" i="5"/>
  <c r="G11" i="4"/>
  <c r="F11" i="4"/>
  <c r="F26" i="11"/>
  <c r="G26" i="11"/>
  <c r="F32" i="10"/>
  <c r="G32" i="10"/>
  <c r="F22" i="9"/>
  <c r="G22" i="9"/>
  <c r="G18" i="8"/>
  <c r="F18" i="8"/>
  <c r="G32" i="7"/>
  <c r="F32" i="7"/>
  <c r="F10" i="7"/>
  <c r="G10" i="7"/>
  <c r="G16" i="5"/>
  <c r="F16" i="5"/>
  <c r="F24" i="3"/>
  <c r="G24" i="3"/>
  <c r="F20" i="10"/>
  <c r="G20" i="10"/>
  <c r="G10" i="10"/>
  <c r="F10" i="10"/>
  <c r="G16" i="9"/>
  <c r="F16" i="9"/>
  <c r="F19" i="8"/>
  <c r="G19" i="8"/>
  <c r="F33" i="7"/>
  <c r="G33" i="7"/>
  <c r="G12" i="7"/>
  <c r="F12" i="7"/>
  <c r="F15" i="6"/>
  <c r="G15" i="6"/>
  <c r="G30" i="4"/>
  <c r="F30" i="4"/>
  <c r="F23" i="3"/>
  <c r="G23" i="3"/>
  <c r="G32" i="9"/>
  <c r="F32" i="9"/>
  <c r="F29" i="7"/>
  <c r="G29" i="7"/>
  <c r="G8" i="5"/>
  <c r="F8" i="5"/>
  <c r="F23" i="11"/>
  <c r="G23" i="11"/>
  <c r="F35" i="13"/>
  <c r="G35" i="13"/>
  <c r="F19" i="13"/>
  <c r="G19" i="13"/>
  <c r="G34" i="12"/>
  <c r="F34" i="12"/>
  <c r="G18" i="12"/>
  <c r="F18" i="12"/>
  <c r="G29" i="11"/>
  <c r="F29" i="11"/>
  <c r="F8" i="10"/>
  <c r="G8" i="10"/>
  <c r="F7" i="6"/>
  <c r="G7" i="6"/>
  <c r="G32" i="4"/>
  <c r="F32" i="4"/>
  <c r="G8" i="9"/>
  <c r="F8" i="9"/>
  <c r="F6" i="4"/>
  <c r="G6" i="4"/>
  <c r="F35" i="6"/>
  <c r="G35" i="6"/>
  <c r="F30" i="6"/>
  <c r="G30" i="6"/>
  <c r="G25" i="11"/>
  <c r="F25" i="11"/>
  <c r="F21" i="10"/>
  <c r="G21" i="10"/>
  <c r="G28" i="9"/>
  <c r="F28" i="9"/>
  <c r="G15" i="4"/>
  <c r="F15" i="4"/>
  <c r="G14" i="3"/>
  <c r="F14" i="3"/>
  <c r="F25" i="9"/>
  <c r="G25" i="9"/>
  <c r="G31" i="7"/>
  <c r="F31" i="7"/>
  <c r="F13" i="5"/>
  <c r="G13" i="5"/>
  <c r="G28" i="3"/>
  <c r="F28" i="3"/>
  <c r="G14" i="4"/>
  <c r="F14" i="4"/>
  <c r="F25" i="13"/>
  <c r="G25" i="13"/>
  <c r="G17" i="4"/>
  <c r="F17" i="4"/>
  <c r="F36" i="12"/>
  <c r="G36" i="12"/>
  <c r="F20" i="12"/>
  <c r="G20" i="12"/>
  <c r="F35" i="11"/>
  <c r="G35" i="11"/>
  <c r="F19" i="3"/>
  <c r="G19" i="3"/>
  <c r="F32" i="6"/>
  <c r="G32" i="6"/>
  <c r="G29" i="6"/>
  <c r="F29" i="6"/>
  <c r="G34" i="3"/>
  <c r="F34" i="3"/>
  <c r="F13" i="3"/>
  <c r="G13" i="3"/>
  <c r="G10" i="3"/>
  <c r="F10" i="3"/>
  <c r="F26" i="13"/>
  <c r="G26" i="13"/>
  <c r="F10" i="13"/>
  <c r="G10" i="13"/>
  <c r="F25" i="12"/>
  <c r="G25" i="12"/>
  <c r="F9" i="12"/>
  <c r="G9" i="12"/>
  <c r="F27" i="11"/>
  <c r="G27" i="11"/>
  <c r="F33" i="10"/>
  <c r="G33" i="10"/>
  <c r="G6" i="10"/>
  <c r="F6" i="10"/>
  <c r="F7" i="9"/>
  <c r="G7" i="9"/>
  <c r="G22" i="8"/>
  <c r="F22" i="8"/>
  <c r="F34" i="7"/>
  <c r="G34" i="7"/>
  <c r="G24" i="7"/>
  <c r="F24" i="7"/>
  <c r="F18" i="6"/>
  <c r="G18" i="6"/>
  <c r="G36" i="5"/>
  <c r="F36" i="5"/>
  <c r="G28" i="13"/>
  <c r="F28" i="13"/>
  <c r="G12" i="13"/>
  <c r="F12" i="13"/>
  <c r="G27" i="12"/>
  <c r="F27" i="12"/>
  <c r="G11" i="12"/>
  <c r="F11" i="12"/>
  <c r="F15" i="11"/>
  <c r="G15" i="11"/>
  <c r="G15" i="10"/>
  <c r="F15" i="10"/>
  <c r="F18" i="9"/>
  <c r="G18" i="9"/>
  <c r="G17" i="8"/>
  <c r="F17" i="8"/>
  <c r="G35" i="7"/>
  <c r="F35" i="7"/>
  <c r="F14" i="7"/>
  <c r="G14" i="7"/>
  <c r="F22" i="6"/>
  <c r="G22" i="6"/>
  <c r="F34" i="5"/>
  <c r="G34" i="5"/>
  <c r="G15" i="5"/>
  <c r="F15" i="5"/>
  <c r="F29" i="4"/>
  <c r="G29" i="4"/>
  <c r="G9" i="4"/>
  <c r="F9" i="4"/>
  <c r="F21" i="3"/>
  <c r="G21" i="3"/>
  <c r="G25" i="4"/>
  <c r="F25" i="4"/>
  <c r="G10" i="4"/>
  <c r="F10" i="4"/>
  <c r="G21" i="11"/>
  <c r="F21" i="11"/>
  <c r="F29" i="10"/>
  <c r="G29" i="10"/>
  <c r="F14" i="9"/>
  <c r="G14" i="9"/>
  <c r="G14" i="8"/>
  <c r="F14" i="8"/>
  <c r="F22" i="7"/>
  <c r="G22" i="7"/>
  <c r="G13" i="6"/>
  <c r="F13" i="6"/>
  <c r="G36" i="4"/>
  <c r="F36" i="4"/>
  <c r="G12" i="11"/>
  <c r="F12" i="11"/>
  <c r="G19" i="10"/>
  <c r="F19" i="10"/>
  <c r="G36" i="9"/>
  <c r="F36" i="9"/>
  <c r="G12" i="9"/>
  <c r="F12" i="9"/>
  <c r="G16" i="8"/>
  <c r="F16" i="8"/>
  <c r="G20" i="7"/>
  <c r="F20" i="7"/>
  <c r="G11" i="7"/>
  <c r="F11" i="7"/>
  <c r="F33" i="5"/>
  <c r="G33" i="5"/>
  <c r="G20" i="4"/>
  <c r="F20" i="4"/>
  <c r="F6" i="3"/>
  <c r="G6" i="3"/>
  <c r="G27" i="9"/>
  <c r="F27" i="9"/>
  <c r="G28" i="5"/>
  <c r="F28" i="5"/>
  <c r="F35" i="4"/>
  <c r="G35" i="4"/>
  <c r="G26" i="10"/>
  <c r="F26" i="10"/>
  <c r="F31" i="13"/>
  <c r="G31" i="13"/>
  <c r="F15" i="13"/>
  <c r="G15" i="13"/>
  <c r="G30" i="12"/>
  <c r="F30" i="12"/>
  <c r="G14" i="12"/>
  <c r="F14" i="12"/>
  <c r="F36" i="10"/>
  <c r="G36" i="10"/>
  <c r="F30" i="9"/>
  <c r="G30" i="9"/>
  <c r="F26" i="5"/>
  <c r="G26" i="5"/>
  <c r="G20" i="11"/>
  <c r="F20" i="11"/>
  <c r="F23" i="8"/>
  <c r="G23" i="8"/>
  <c r="G16" i="11"/>
  <c r="F16" i="11"/>
  <c r="F23" i="6"/>
  <c r="G23" i="6"/>
  <c r="F9" i="5"/>
  <c r="G9" i="5"/>
  <c r="F22" i="11"/>
  <c r="G22" i="11"/>
  <c r="F16" i="10"/>
  <c r="G16" i="10"/>
  <c r="G20" i="9"/>
  <c r="F20" i="9"/>
  <c r="G30" i="3"/>
  <c r="F30" i="3"/>
  <c r="F10" i="6"/>
  <c r="G10" i="6"/>
  <c r="G13" i="9"/>
  <c r="F13" i="9"/>
  <c r="G23" i="7"/>
  <c r="F23" i="7"/>
  <c r="G18" i="4"/>
  <c r="F18" i="4"/>
  <c r="F20" i="3"/>
  <c r="G20" i="3"/>
  <c r="F14" i="11"/>
  <c r="G14" i="11"/>
  <c r="F21" i="13"/>
  <c r="G21" i="13"/>
  <c r="F16" i="4"/>
  <c r="G16" i="4"/>
  <c r="F32" i="12"/>
  <c r="G32" i="12"/>
  <c r="F16" i="12"/>
  <c r="G16" i="12"/>
  <c r="F31" i="11"/>
  <c r="G31" i="11"/>
  <c r="F15" i="3"/>
  <c r="G15" i="3"/>
  <c r="G26" i="8"/>
  <c r="F26" i="8"/>
  <c r="F24" i="6"/>
  <c r="G24" i="6"/>
  <c r="G25" i="6"/>
  <c r="F25" i="6"/>
  <c r="G35" i="5"/>
  <c r="F35" i="5"/>
  <c r="F9" i="3"/>
  <c r="G9" i="3"/>
  <c r="F35" i="3"/>
  <c r="G35" i="3"/>
  <c r="F22" i="13"/>
  <c r="G22" i="13"/>
  <c r="F6" i="13"/>
  <c r="G6" i="13"/>
  <c r="F21" i="12"/>
  <c r="G21" i="12"/>
  <c r="G36" i="11"/>
  <c r="F36" i="11"/>
  <c r="G24" i="11"/>
  <c r="F24" i="11"/>
  <c r="G23" i="10"/>
  <c r="F23" i="10"/>
  <c r="F26" i="9"/>
  <c r="G26" i="9"/>
  <c r="F31" i="8"/>
  <c r="G31" i="8"/>
  <c r="G21" i="8"/>
  <c r="F21" i="8"/>
  <c r="F30" i="7"/>
  <c r="G30" i="7"/>
  <c r="F9" i="7"/>
  <c r="G9" i="7"/>
  <c r="G17" i="6"/>
  <c r="F17" i="6"/>
  <c r="G32" i="5"/>
  <c r="F32" i="5"/>
  <c r="G24" i="13"/>
  <c r="F24" i="13"/>
  <c r="G8" i="13"/>
  <c r="F8" i="13"/>
  <c r="G23" i="12"/>
  <c r="F23" i="12"/>
  <c r="G7" i="12"/>
  <c r="F7" i="12"/>
  <c r="G8" i="11"/>
  <c r="F8" i="11"/>
  <c r="G14" i="10"/>
  <c r="F14" i="10"/>
  <c r="G15" i="9"/>
  <c r="F15" i="9"/>
  <c r="G10" i="8"/>
  <c r="F10" i="8"/>
  <c r="F26" i="7"/>
  <c r="G26" i="7"/>
  <c r="F13" i="7"/>
  <c r="G13" i="7"/>
  <c r="F20" i="6"/>
  <c r="G20" i="6"/>
  <c r="F30" i="5"/>
  <c r="G30" i="5"/>
  <c r="G11" i="5"/>
  <c r="F11" i="5"/>
  <c r="G27" i="4"/>
  <c r="F27" i="4"/>
  <c r="F8" i="4"/>
  <c r="G8" i="4"/>
  <c r="F7" i="3"/>
  <c r="G7" i="3"/>
  <c r="G24" i="4"/>
  <c r="F24" i="4"/>
  <c r="G7" i="4"/>
  <c r="F7" i="4"/>
  <c r="F10" i="11"/>
  <c r="G10" i="11"/>
  <c r="F17" i="10"/>
  <c r="G17" i="10"/>
  <c r="F35" i="8"/>
  <c r="G35" i="8"/>
  <c r="G13" i="8"/>
  <c r="F13" i="8"/>
  <c r="F18" i="7"/>
  <c r="G18" i="7"/>
  <c r="G31" i="5"/>
  <c r="F31" i="5"/>
  <c r="F29" i="3"/>
  <c r="G29" i="3"/>
  <c r="F7" i="11"/>
  <c r="G7" i="11"/>
  <c r="F12" i="10"/>
  <c r="G12" i="10"/>
  <c r="G35" i="9"/>
  <c r="F35" i="9"/>
  <c r="G11" i="9"/>
  <c r="F11" i="9"/>
  <c r="G8" i="8"/>
  <c r="F8" i="8"/>
  <c r="G19" i="7"/>
  <c r="F19" i="7"/>
  <c r="G8" i="7"/>
  <c r="F8" i="7"/>
  <c r="F29" i="5"/>
  <c r="G29" i="5"/>
  <c r="F27" i="3"/>
  <c r="G27" i="3"/>
  <c r="G34" i="10"/>
  <c r="F34" i="10"/>
  <c r="G19" i="9"/>
  <c r="F19" i="9"/>
  <c r="G20" i="5"/>
  <c r="F20" i="5"/>
  <c r="G34" i="4"/>
  <c r="F34" i="4"/>
  <c r="G18" i="10"/>
  <c r="F18" i="10"/>
  <c r="F27" i="13"/>
  <c r="G27" i="13"/>
  <c r="F11" i="13"/>
  <c r="G11" i="13"/>
  <c r="G26" i="12"/>
  <c r="F26" i="12"/>
  <c r="G10" i="12"/>
  <c r="F10" i="12"/>
  <c r="F28" i="10"/>
  <c r="G28" i="10"/>
  <c r="G17" i="9"/>
  <c r="F17" i="9"/>
  <c r="F18" i="5"/>
  <c r="G18" i="5"/>
  <c r="F18" i="11"/>
  <c r="G18" i="11"/>
  <c r="F15" i="8"/>
  <c r="G15" i="8"/>
  <c r="F6" i="9"/>
  <c r="G6" i="9"/>
  <c r="F11" i="6"/>
  <c r="G11" i="6"/>
  <c r="G28" i="4"/>
  <c r="F28" i="4"/>
  <c r="F6" i="11"/>
  <c r="G6" i="11"/>
  <c r="F13" i="10"/>
  <c r="G13" i="10"/>
  <c r="G22" i="4"/>
  <c r="F22" i="4"/>
  <c r="G22" i="3"/>
  <c r="F22" i="3"/>
  <c r="F21" i="5"/>
  <c r="G21" i="5"/>
  <c r="G9" i="9"/>
  <c r="F9" i="9"/>
  <c r="F34" i="6"/>
  <c r="G34" i="6"/>
  <c r="F8" i="3"/>
  <c r="G8" i="3"/>
  <c r="F16" i="3"/>
  <c r="G16" i="3"/>
  <c r="F33" i="13"/>
  <c r="G33" i="13"/>
  <c r="F17" i="13"/>
  <c r="G17" i="13"/>
  <c r="F13" i="13"/>
  <c r="G13" i="13"/>
  <c r="F28" i="12"/>
  <c r="G28" i="12"/>
  <c r="F12" i="12"/>
  <c r="G12" i="12"/>
  <c r="F19" i="11"/>
  <c r="G19" i="11"/>
  <c r="G13" i="11"/>
  <c r="F13" i="11"/>
  <c r="F21" i="7"/>
  <c r="G21" i="7"/>
  <c r="F12" i="6"/>
  <c r="G12" i="6"/>
  <c r="G21" i="6"/>
  <c r="F21" i="6"/>
  <c r="F18" i="13"/>
  <c r="G18" i="13"/>
  <c r="F17" i="12"/>
  <c r="G17" i="12"/>
  <c r="G17" i="11"/>
  <c r="F17" i="11"/>
  <c r="F23" i="9"/>
  <c r="G23" i="9"/>
  <c r="G12" i="8"/>
  <c r="F12" i="8"/>
  <c r="F28" i="6"/>
  <c r="G28" i="6"/>
  <c r="G20" i="13"/>
  <c r="F20" i="13"/>
  <c r="G19" i="12"/>
  <c r="F19" i="12"/>
  <c r="G31" i="10"/>
  <c r="F31" i="10"/>
  <c r="G6" i="8"/>
  <c r="F6" i="8"/>
  <c r="G33" i="6"/>
  <c r="F33" i="6"/>
  <c r="G27" i="5"/>
  <c r="F27" i="5"/>
  <c r="G33" i="3"/>
  <c r="F33" i="3"/>
  <c r="G13" i="4"/>
  <c r="F13" i="4"/>
  <c r="G9" i="11"/>
  <c r="F9" i="11"/>
  <c r="G9" i="8"/>
  <c r="F9" i="8"/>
  <c r="F17" i="5"/>
  <c r="G17" i="5"/>
  <c r="G35" i="10"/>
  <c r="F35" i="10"/>
  <c r="G20" i="8"/>
  <c r="F20" i="8"/>
  <c r="G15" i="7"/>
  <c r="F15" i="7"/>
  <c r="F14" i="5"/>
  <c r="G14" i="5"/>
  <c r="G34" i="8"/>
  <c r="F34" i="8"/>
  <c r="G31" i="4"/>
  <c r="F31" i="4"/>
  <c r="F7" i="13"/>
  <c r="G7" i="13"/>
  <c r="G33" i="11"/>
  <c r="F33" i="11"/>
  <c r="G36" i="8"/>
  <c r="F36" i="8"/>
  <c r="G24" i="9"/>
  <c r="F24" i="9"/>
  <c r="G6" i="7"/>
  <c r="F6" i="7"/>
  <c r="G25" i="8"/>
  <c r="F25" i="8"/>
  <c r="G7" i="7"/>
  <c r="F7" i="7"/>
  <c r="G6" i="12"/>
  <c r="F6" i="12"/>
  <c r="F24" i="10"/>
  <c r="G24" i="10"/>
  <c r="F9" i="10"/>
  <c r="G9" i="10"/>
  <c r="G19" i="4"/>
  <c r="F19" i="4"/>
  <c r="F29" i="9"/>
  <c r="G29" i="9"/>
  <c r="G28" i="8"/>
  <c r="F28" i="8"/>
  <c r="F14" i="6"/>
  <c r="G14" i="6"/>
  <c r="F36" i="3"/>
  <c r="G36" i="3"/>
  <c r="G12" i="3"/>
  <c r="F12" i="3"/>
  <c r="F29" i="13"/>
  <c r="G29" i="13"/>
  <c r="G21" i="4"/>
  <c r="F21" i="4"/>
  <c r="F9" i="13"/>
  <c r="G9" i="13"/>
  <c r="F24" i="12"/>
  <c r="G24" i="12"/>
  <c r="F8" i="12"/>
  <c r="G8" i="12"/>
  <c r="F12" i="4"/>
  <c r="G12" i="4"/>
  <c r="F36" i="6"/>
  <c r="G36" i="6"/>
  <c r="G9" i="6"/>
  <c r="F9" i="6"/>
  <c r="L10" i="1"/>
  <c r="L14" i="1"/>
  <c r="L9" i="1"/>
  <c r="L13" i="1"/>
  <c r="L16" i="1"/>
  <c r="L7" i="1"/>
  <c r="L12" i="1"/>
  <c r="L11" i="1"/>
  <c r="H16" i="1"/>
  <c r="K12" i="1"/>
  <c r="N12" i="1" s="1"/>
  <c r="K14" i="1"/>
  <c r="N14" i="1" s="1"/>
  <c r="K8" i="1"/>
  <c r="N8" i="1" s="1"/>
  <c r="K7" i="1"/>
  <c r="N7" i="1" s="1"/>
  <c r="K11" i="1"/>
  <c r="N11" i="1" s="1"/>
  <c r="K10" i="1"/>
  <c r="N10" i="1" s="1"/>
  <c r="K16" i="1"/>
  <c r="N16" i="1" s="1"/>
  <c r="K9" i="1"/>
  <c r="N9" i="1" s="1"/>
  <c r="K15" i="1"/>
  <c r="N15" i="1" s="1"/>
  <c r="K13" i="1"/>
  <c r="N13" i="1" s="1"/>
  <c r="L6" i="1"/>
  <c r="L22" i="1" s="1"/>
  <c r="K6" i="1"/>
  <c r="K22" i="1" s="1"/>
  <c r="H7" i="1"/>
  <c r="H8" i="1"/>
  <c r="H10" i="1"/>
  <c r="H14" i="1"/>
  <c r="H6" i="1"/>
  <c r="H22" i="1" s="1"/>
  <c r="H13" i="1"/>
  <c r="J8" i="1"/>
  <c r="M8" i="1" s="1"/>
  <c r="P8" i="1"/>
  <c r="Q8" i="1"/>
  <c r="R8" i="1"/>
  <c r="I8" i="1"/>
  <c r="O8" i="1"/>
  <c r="O14" i="1"/>
  <c r="I14" i="1"/>
  <c r="P14" i="1"/>
  <c r="J14" i="1"/>
  <c r="M14" i="1" s="1"/>
  <c r="Q14" i="1"/>
  <c r="R14" i="1"/>
  <c r="Q11" i="1"/>
  <c r="R11" i="1"/>
  <c r="I11" i="1"/>
  <c r="O11" i="1"/>
  <c r="P11" i="1"/>
  <c r="J11" i="1"/>
  <c r="M11" i="1" s="1"/>
  <c r="I13" i="1"/>
  <c r="O13" i="1"/>
  <c r="J13" i="1"/>
  <c r="M13" i="1" s="1"/>
  <c r="P13" i="1"/>
  <c r="Q13" i="1"/>
  <c r="R13" i="1"/>
  <c r="H11" i="1"/>
  <c r="H15" i="1"/>
  <c r="J12" i="1"/>
  <c r="M12" i="1" s="1"/>
  <c r="P12" i="1"/>
  <c r="Q12" i="1"/>
  <c r="R12" i="1"/>
  <c r="I12" i="1"/>
  <c r="O12" i="1"/>
  <c r="R6" i="1"/>
  <c r="I6" i="1"/>
  <c r="I22" i="1" s="1"/>
  <c r="O6" i="1"/>
  <c r="O22" i="1" s="1"/>
  <c r="J6" i="1"/>
  <c r="M6" i="1" s="1"/>
  <c r="M22" i="1" s="1"/>
  <c r="P6" i="1"/>
  <c r="Q6" i="1"/>
  <c r="Q7" i="1"/>
  <c r="R7" i="1"/>
  <c r="I7" i="1"/>
  <c r="O7" i="1"/>
  <c r="P7" i="1"/>
  <c r="J7" i="1"/>
  <c r="M7" i="1" s="1"/>
  <c r="H12" i="1"/>
  <c r="O15" i="1"/>
  <c r="I15" i="1"/>
  <c r="P15" i="1"/>
  <c r="J15" i="1"/>
  <c r="M15" i="1" s="1"/>
  <c r="Q15" i="1"/>
  <c r="R15" i="1"/>
  <c r="O16" i="1"/>
  <c r="I16" i="1"/>
  <c r="P16" i="1"/>
  <c r="J16" i="1"/>
  <c r="M16" i="1" s="1"/>
  <c r="Q16" i="1"/>
  <c r="R16" i="1"/>
  <c r="I9" i="1"/>
  <c r="O9" i="1"/>
  <c r="J9" i="1"/>
  <c r="M9" i="1" s="1"/>
  <c r="P9" i="1"/>
  <c r="Q9" i="1"/>
  <c r="R9" i="1"/>
  <c r="H9" i="1"/>
  <c r="R10" i="1"/>
  <c r="I10" i="1"/>
  <c r="O10" i="1"/>
  <c r="J10" i="1"/>
  <c r="M10" i="1" s="1"/>
  <c r="P10" i="1"/>
  <c r="Q10" i="1"/>
  <c r="F37" i="3"/>
  <c r="F38" i="3" s="1"/>
  <c r="K4" i="16" s="1"/>
  <c r="F37" i="10"/>
  <c r="F38" i="10" s="1"/>
  <c r="K11" i="16" s="1"/>
  <c r="F37" i="13"/>
  <c r="F38" i="13" s="1"/>
  <c r="K14" i="16" s="1"/>
  <c r="F37" i="8"/>
  <c r="F38" i="8" s="1"/>
  <c r="K9" i="16" s="1"/>
  <c r="F37" i="7"/>
  <c r="F38" i="7" s="1"/>
  <c r="K8" i="16" s="1"/>
  <c r="F37" i="11"/>
  <c r="F38" i="11" s="1"/>
  <c r="K12" i="16" s="1"/>
  <c r="F37" i="9"/>
  <c r="F38" i="9" s="1"/>
  <c r="K10" i="16" s="1"/>
  <c r="F37" i="4"/>
  <c r="F38" i="4" s="1"/>
  <c r="K5" i="16" s="1"/>
  <c r="F37" i="12"/>
  <c r="F38" i="12" s="1"/>
  <c r="K13" i="16" s="1"/>
  <c r="F37" i="6"/>
  <c r="F38" i="6" s="1"/>
  <c r="K7" i="16" s="1"/>
  <c r="F37" i="5"/>
  <c r="F38" i="5" s="1"/>
  <c r="K6" i="16" s="1"/>
  <c r="G22" i="1"/>
  <c r="E22" i="1"/>
  <c r="H25" i="1" l="1"/>
  <c r="K20" i="16"/>
  <c r="N6" i="1"/>
  <c r="N22" i="1" s="1"/>
  <c r="L23" i="1"/>
  <c r="F23" i="1"/>
  <c r="L24" i="1"/>
  <c r="J22" i="1"/>
  <c r="F24" i="1" l="1"/>
</calcChain>
</file>

<file path=xl/sharedStrings.xml><?xml version="1.0" encoding="utf-8"?>
<sst xmlns="http://schemas.openxmlformats.org/spreadsheetml/2006/main" count="649" uniqueCount="96">
  <si>
    <t>إسم المشروع</t>
  </si>
  <si>
    <t>الموقع</t>
  </si>
  <si>
    <t>وزارة الصحة</t>
  </si>
  <si>
    <t>references</t>
  </si>
  <si>
    <t>الشهر</t>
  </si>
  <si>
    <t>السنة</t>
  </si>
  <si>
    <t>حضور</t>
  </si>
  <si>
    <t>عارضة</t>
  </si>
  <si>
    <t>السبت</t>
  </si>
  <si>
    <t>الأحد</t>
  </si>
  <si>
    <t>الإثنين</t>
  </si>
  <si>
    <t>الثلاثاء</t>
  </si>
  <si>
    <t>الأربعاء</t>
  </si>
  <si>
    <t>الخميس</t>
  </si>
  <si>
    <t>الجمعة</t>
  </si>
  <si>
    <t>مسلسل</t>
  </si>
  <si>
    <t>بيانات</t>
  </si>
  <si>
    <t>إجمالي</t>
  </si>
  <si>
    <t>غيابات</t>
  </si>
  <si>
    <t>الرقم</t>
  </si>
  <si>
    <t>الإسم</t>
  </si>
  <si>
    <t>الوظيفة</t>
  </si>
  <si>
    <t>إعتيادي</t>
  </si>
  <si>
    <t xml:space="preserve">حضور </t>
  </si>
  <si>
    <t>انصراف</t>
  </si>
  <si>
    <t>ملاحظات</t>
  </si>
  <si>
    <t>كريم محمود</t>
  </si>
  <si>
    <t>سكرتير</t>
  </si>
  <si>
    <t>عبد العزيز محمد</t>
  </si>
  <si>
    <t>محلل بيانات</t>
  </si>
  <si>
    <t>محمد حسين</t>
  </si>
  <si>
    <t>محاسب</t>
  </si>
  <si>
    <t>هالة محمود</t>
  </si>
  <si>
    <t>إسلام محمد</t>
  </si>
  <si>
    <t>منسق مشروع</t>
  </si>
  <si>
    <t>أحمد عبد المنعم</t>
  </si>
  <si>
    <t>هاجر أحمد</t>
  </si>
  <si>
    <t>مديحة حمدي</t>
  </si>
  <si>
    <t>دينا سيد</t>
  </si>
  <si>
    <t>خدمات معاونة</t>
  </si>
  <si>
    <t>محمد إبراهيم</t>
  </si>
  <si>
    <t>أحمد نبوي</t>
  </si>
  <si>
    <t>يناير</t>
  </si>
  <si>
    <t>المشروع</t>
  </si>
  <si>
    <t>البنك الدولي</t>
  </si>
  <si>
    <t>القرض الفرنسي</t>
  </si>
  <si>
    <t xml:space="preserve">إضافي      
         </t>
  </si>
  <si>
    <t xml:space="preserve">               خصم</t>
  </si>
  <si>
    <t>أيام الجمعة</t>
  </si>
  <si>
    <t>أيام السبت</t>
  </si>
  <si>
    <t>مأمورية</t>
  </si>
  <si>
    <t>مأموريات</t>
  </si>
  <si>
    <t>الراتب</t>
  </si>
  <si>
    <t>أجر الساعة</t>
  </si>
  <si>
    <t>العام</t>
  </si>
  <si>
    <t>اليوم</t>
  </si>
  <si>
    <t>التاريخ</t>
  </si>
  <si>
    <t xml:space="preserve">إضافي           
               </t>
  </si>
  <si>
    <t xml:space="preserve">                        خصم</t>
  </si>
  <si>
    <t>إجمالي المستحق</t>
  </si>
  <si>
    <t>عبد العزيز</t>
  </si>
  <si>
    <t>حضور
الجمعة</t>
  </si>
  <si>
    <t>مسئول قواعد بيانات</t>
  </si>
  <si>
    <t>إســــــــــم الــــــــــمــــــــــوظــــــــــف</t>
  </si>
  <si>
    <t>ساعات الحضور</t>
  </si>
  <si>
    <t>إجمالي ساعات الحضور</t>
  </si>
  <si>
    <t>إجمالي المبلغ المستحق</t>
  </si>
  <si>
    <t>حضور
السبت</t>
  </si>
  <si>
    <t>مأمورية
الجمعة</t>
  </si>
  <si>
    <t xml:space="preserve">مأمورية
السبت </t>
  </si>
  <si>
    <t>إجازة
رسمية</t>
  </si>
  <si>
    <t>أيام الإجازات الرسمية</t>
  </si>
  <si>
    <t>إجازات رسمية</t>
  </si>
  <si>
    <t>أيام الحضور</t>
  </si>
  <si>
    <t>RـــEـــPـــOـــRـــT</t>
  </si>
  <si>
    <t>الـــيـــوم</t>
  </si>
  <si>
    <t>غياب 
بدون إذن</t>
  </si>
  <si>
    <t>حـــــــصـــــــر شـــــــهـــــــري</t>
  </si>
  <si>
    <t>بدون
إذن</t>
  </si>
  <si>
    <t>رصيد إجازات</t>
  </si>
  <si>
    <t>بأيام الحضور</t>
  </si>
  <si>
    <t>مرتبات</t>
  </si>
  <si>
    <t>-</t>
  </si>
  <si>
    <t>الـــــــراتـــــــب</t>
  </si>
  <si>
    <t>بـــيـــانـــات</t>
  </si>
  <si>
    <t>فبراير</t>
  </si>
  <si>
    <t>مارس</t>
  </si>
  <si>
    <t>إبريل</t>
  </si>
  <si>
    <t>مايو</t>
  </si>
  <si>
    <t>يونيو</t>
  </si>
  <si>
    <t>يوليو</t>
  </si>
  <si>
    <t>أغسطس</t>
  </si>
  <si>
    <t>سبتمبر</t>
  </si>
  <si>
    <t>أكتوبر</t>
  </si>
  <si>
    <t>نوفمبر</t>
  </si>
  <si>
    <t>ديسمبر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</si>
</sst>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quot;$&quot;* #,##0.00_);_(&quot;$&quot;* \(#,##0.00\);_(&quot;$&quot;* &quot;-&quot;??_);_(@_)"/>
    <numFmt numFmtId="165" formatCode="h:mm;@"/>
    <numFmt numFmtId="166" formatCode="[h]:mm:ss;@"/>
  </numFmts>
  <fonts count="74" x14ac:knownFonts="1">
    <font>
      <sz val="11"/>
      <color theme="1"/>
      <name val="Arial"/>
      <family val="2"/>
      <scheme val="minor"/>
    </font>
    <font>
      <b/>
      <sz val="13"/>
      <color theme="3"/>
      <name val="Arial"/>
      <family val="2"/>
      <scheme val="minor"/>
    </font>
    <font>
      <b/>
      <sz val="11"/>
      <color theme="3"/>
      <name val="Arial"/>
      <family val="2"/>
      <scheme val="minor"/>
    </font>
    <font>
      <sz val="11"/>
      <color theme="0"/>
      <name val="Arial"/>
      <family val="2"/>
      <scheme val="minor"/>
    </font>
    <font>
      <u/>
      <sz val="11"/>
      <color theme="10"/>
      <name val="Arial"/>
      <family val="2"/>
      <scheme val="minor"/>
    </font>
    <font>
      <b/>
      <sz val="14"/>
      <color theme="1"/>
      <name val="Arial"/>
      <family val="2"/>
      <scheme val="minor"/>
    </font>
    <font>
      <b/>
      <sz val="18"/>
      <color rgb="FFC00000"/>
      <name val="Arial"/>
      <family val="2"/>
      <scheme val="minor"/>
    </font>
    <font>
      <b/>
      <sz val="18"/>
      <color theme="4"/>
      <name val="Arial"/>
      <family val="2"/>
      <scheme val="minor"/>
    </font>
    <font>
      <b/>
      <sz val="10"/>
      <color theme="0"/>
      <name val="Arial"/>
      <family val="2"/>
      <scheme val="minor"/>
    </font>
    <font>
      <b/>
      <sz val="10"/>
      <color rgb="FFC00000"/>
      <name val="Arial"/>
      <family val="2"/>
      <scheme val="minor"/>
    </font>
    <font>
      <sz val="10"/>
      <color theme="1"/>
      <name val="Arial"/>
      <family val="2"/>
      <scheme val="minor"/>
    </font>
    <font>
      <b/>
      <sz val="10"/>
      <name val="Arial"/>
      <family val="2"/>
      <scheme val="minor"/>
    </font>
    <font>
      <b/>
      <sz val="10"/>
      <color theme="1"/>
      <name val="Arial"/>
      <family val="2"/>
      <scheme val="minor"/>
    </font>
    <font>
      <b/>
      <sz val="10"/>
      <color theme="3"/>
      <name val="Arial"/>
      <family val="2"/>
      <scheme val="minor"/>
    </font>
    <font>
      <u/>
      <sz val="9"/>
      <color theme="10"/>
      <name val="Arial"/>
      <family val="2"/>
      <scheme val="minor"/>
    </font>
    <font>
      <sz val="9"/>
      <color theme="1"/>
      <name val="Arial"/>
      <family val="2"/>
      <scheme val="minor"/>
    </font>
    <font>
      <b/>
      <sz val="9"/>
      <color rgb="FF0070C0"/>
      <name val="Arial"/>
      <family val="2"/>
      <scheme val="minor"/>
    </font>
    <font>
      <b/>
      <sz val="9"/>
      <name val="Arial"/>
      <family val="2"/>
      <scheme val="minor"/>
    </font>
    <font>
      <b/>
      <sz val="9"/>
      <color theme="1"/>
      <name val="Arial"/>
      <family val="2"/>
      <scheme val="minor"/>
    </font>
    <font>
      <b/>
      <sz val="9"/>
      <color rgb="FFC00000"/>
      <name val="Arial"/>
      <family val="2"/>
      <charset val="178"/>
      <scheme val="minor"/>
    </font>
    <font>
      <b/>
      <sz val="9"/>
      <color rgb="FF0070C0"/>
      <name val="Arial"/>
      <family val="2"/>
      <charset val="178"/>
      <scheme val="minor"/>
    </font>
    <font>
      <b/>
      <sz val="9"/>
      <color theme="7" tint="-0.499984740745262"/>
      <name val="Arial"/>
      <family val="2"/>
      <charset val="178"/>
      <scheme val="minor"/>
    </font>
    <font>
      <b/>
      <sz val="9"/>
      <color theme="3"/>
      <name val="Arial"/>
      <family val="2"/>
      <scheme val="minor"/>
    </font>
    <font>
      <b/>
      <sz val="10"/>
      <color rgb="FF7030A0"/>
      <name val="Arial"/>
      <family val="2"/>
      <scheme val="minor"/>
    </font>
    <font>
      <sz val="10"/>
      <color theme="0"/>
      <name val="Arial"/>
      <family val="2"/>
      <scheme val="minor"/>
    </font>
    <font>
      <sz val="10"/>
      <name val="Arial"/>
      <family val="2"/>
      <scheme val="minor"/>
    </font>
    <font>
      <b/>
      <sz val="12"/>
      <color theme="0"/>
      <name val="Arial"/>
      <family val="2"/>
      <scheme val="minor"/>
    </font>
    <font>
      <b/>
      <sz val="14"/>
      <color rgb="FFFF0000"/>
      <name val="Arial"/>
      <family val="2"/>
      <scheme val="minor"/>
    </font>
    <font>
      <b/>
      <sz val="14"/>
      <color theme="0"/>
      <name val="Arial"/>
      <family val="2"/>
      <scheme val="minor"/>
    </font>
    <font>
      <sz val="14"/>
      <color theme="1"/>
      <name val="Arial"/>
      <family val="2"/>
      <scheme val="minor"/>
    </font>
    <font>
      <b/>
      <sz val="11"/>
      <color rgb="FFC00000"/>
      <name val="Arial"/>
      <family val="2"/>
      <charset val="178"/>
      <scheme val="minor"/>
    </font>
    <font>
      <b/>
      <sz val="11"/>
      <color rgb="FFC00000"/>
      <name val="Bahnschrift"/>
      <family val="2"/>
    </font>
    <font>
      <u/>
      <sz val="14"/>
      <color theme="10"/>
      <name val="Arial"/>
      <family val="2"/>
      <scheme val="minor"/>
    </font>
    <font>
      <sz val="9"/>
      <name val="Arial"/>
      <family val="2"/>
      <scheme val="minor"/>
    </font>
    <font>
      <b/>
      <sz val="9"/>
      <color theme="0"/>
      <name val="Arial"/>
      <family val="2"/>
      <scheme val="minor"/>
    </font>
    <font>
      <b/>
      <sz val="11"/>
      <color theme="0"/>
      <name val="Arial"/>
      <family val="2"/>
      <charset val="178"/>
      <scheme val="minor"/>
    </font>
    <font>
      <b/>
      <sz val="12"/>
      <color theme="1"/>
      <name val="Arial"/>
      <family val="2"/>
      <scheme val="minor"/>
    </font>
    <font>
      <b/>
      <sz val="12"/>
      <color rgb="FFFF0000"/>
      <name val="Arial"/>
      <family val="2"/>
      <scheme val="minor"/>
    </font>
    <font>
      <b/>
      <sz val="16"/>
      <color rgb="FF7030A0"/>
      <name val="Arial"/>
      <family val="2"/>
      <scheme val="minor"/>
    </font>
    <font>
      <sz val="11"/>
      <color theme="1"/>
      <name val="Arial"/>
      <family val="2"/>
      <scheme val="minor"/>
    </font>
    <font>
      <sz val="14"/>
      <color rgb="FFC00000"/>
      <name val="Arial"/>
      <family val="2"/>
      <charset val="178"/>
      <scheme val="minor"/>
    </font>
    <font>
      <sz val="14"/>
      <color theme="0"/>
      <name val="Arial"/>
      <family val="2"/>
      <scheme val="minor"/>
    </font>
    <font>
      <b/>
      <sz val="22"/>
      <color theme="0"/>
      <name val="Arial"/>
      <family val="2"/>
      <scheme val="minor"/>
    </font>
    <font>
      <b/>
      <sz val="11"/>
      <color theme="0"/>
      <name val="Arial"/>
      <family val="2"/>
      <scheme val="minor"/>
    </font>
    <font>
      <sz val="11"/>
      <color rgb="FFC00000"/>
      <name val="Arial"/>
      <family val="2"/>
      <charset val="178"/>
      <scheme val="minor"/>
    </font>
    <font>
      <b/>
      <sz val="11"/>
      <color rgb="FF0070C0"/>
      <name val="Arial"/>
      <family val="2"/>
      <scheme val="minor"/>
    </font>
    <font>
      <b/>
      <sz val="14"/>
      <color rgb="FF0070C0"/>
      <name val="Arial"/>
      <family val="2"/>
      <scheme val="minor"/>
    </font>
    <font>
      <b/>
      <sz val="12"/>
      <color rgb="FFC00000"/>
      <name val="Arial"/>
      <family val="2"/>
      <charset val="178"/>
      <scheme val="minor"/>
    </font>
    <font>
      <b/>
      <sz val="12"/>
      <color rgb="FFC00000"/>
      <name val="Bahnschrift"/>
      <family val="2"/>
    </font>
    <font>
      <b/>
      <sz val="14"/>
      <color rgb="FFC00000"/>
      <name val="Bahnschrift"/>
      <family val="2"/>
    </font>
    <font>
      <b/>
      <sz val="11"/>
      <color rgb="FF7030A0"/>
      <name val="Arial"/>
      <family val="2"/>
      <scheme val="minor"/>
    </font>
    <font>
      <b/>
      <sz val="9"/>
      <name val="Arial"/>
      <family val="2"/>
      <charset val="178"/>
      <scheme val="minor"/>
    </font>
    <font>
      <b/>
      <sz val="11"/>
      <color rgb="FF0070C0"/>
      <name val="Arial"/>
      <family val="2"/>
      <charset val="178"/>
      <scheme val="minor"/>
    </font>
    <font>
      <sz val="14"/>
      <color rgb="FFC00000"/>
      <name val="Arial"/>
      <family val="2"/>
      <scheme val="minor"/>
    </font>
    <font>
      <b/>
      <sz val="14"/>
      <color rgb="FFC00000"/>
      <name val="Arial"/>
      <family val="2"/>
      <scheme val="minor"/>
    </font>
    <font>
      <b/>
      <sz val="12"/>
      <name val="Arial"/>
      <family val="2"/>
      <scheme val="minor"/>
    </font>
    <font>
      <b/>
      <sz val="18"/>
      <color rgb="FF7030A0"/>
      <name val="Arial"/>
      <family val="2"/>
      <scheme val="minor"/>
    </font>
    <font>
      <b/>
      <sz val="16"/>
      <color rgb="FFFF0000"/>
      <name val="Arial"/>
      <family val="2"/>
      <scheme val="minor"/>
    </font>
    <font>
      <b/>
      <sz val="18"/>
      <color theme="0"/>
      <name val="Arial"/>
      <family val="2"/>
      <scheme val="minor"/>
    </font>
    <font>
      <b/>
      <sz val="18"/>
      <color rgb="FFFF0000"/>
      <name val="Arial"/>
      <family val="2"/>
      <scheme val="minor"/>
    </font>
    <font>
      <b/>
      <sz val="12"/>
      <color theme="3"/>
      <name val="Arial"/>
      <family val="2"/>
      <scheme val="minor"/>
    </font>
    <font>
      <b/>
      <sz val="12"/>
      <color theme="0"/>
      <name val="Arial"/>
      <family val="2"/>
      <charset val="178"/>
      <scheme val="minor"/>
    </font>
    <font>
      <b/>
      <sz val="14"/>
      <color rgb="FF7030A0"/>
      <name val="Arial"/>
      <family val="2"/>
      <scheme val="minor"/>
    </font>
    <font>
      <b/>
      <sz val="16"/>
      <color rgb="FF0070C0"/>
      <name val="Arial"/>
      <family val="2"/>
      <scheme val="minor"/>
    </font>
    <font>
      <sz val="18"/>
      <color theme="1"/>
      <name val="Arial"/>
      <family val="2"/>
      <scheme val="minor"/>
    </font>
    <font>
      <b/>
      <sz val="18"/>
      <color rgb="FF0070C0"/>
      <name val="Arial"/>
      <family val="2"/>
      <scheme val="minor"/>
    </font>
    <font>
      <b/>
      <sz val="18"/>
      <name val="Arial"/>
      <family val="2"/>
      <scheme val="minor"/>
    </font>
    <font>
      <b/>
      <sz val="20"/>
      <color rgb="FFFF0000"/>
      <name val="Arial"/>
      <family val="2"/>
      <scheme val="minor"/>
    </font>
    <font>
      <sz val="20"/>
      <color theme="1"/>
      <name val="Arial"/>
      <family val="2"/>
      <scheme val="minor"/>
    </font>
    <font>
      <b/>
      <sz val="12"/>
      <color rgb="FFC00000"/>
      <name val="Arial"/>
      <family val="2"/>
      <scheme val="minor"/>
    </font>
    <font>
      <b/>
      <sz val="22"/>
      <color rgb="FF7030A0"/>
      <name val="Arial"/>
      <family val="2"/>
      <scheme val="minor"/>
    </font>
    <font>
      <b/>
      <sz val="20"/>
      <color rgb="FFC00000"/>
      <name val="Arial"/>
      <family val="2"/>
      <scheme val="minor"/>
    </font>
    <font>
      <b/>
      <sz val="20"/>
      <color theme="0"/>
      <name val="Arial"/>
      <family val="2"/>
      <scheme val="minor"/>
    </font>
    <font>
      <u/>
      <sz val="9"/>
      <name val="Arial"/>
      <family val="2"/>
      <scheme val="minor"/>
    </font>
  </fonts>
  <fills count="23">
    <fill>
      <patternFill patternType="none"/>
    </fill>
    <fill>
      <patternFill patternType="gray125"/>
    </fill>
    <fill>
      <patternFill patternType="solid">
        <fgColor theme="4"/>
      </patternFill>
    </fill>
    <fill>
      <patternFill patternType="solid">
        <fgColor theme="8" tint="0.79998168889431442"/>
        <bgColor indexed="64"/>
      </patternFill>
    </fill>
    <fill>
      <patternFill patternType="solid">
        <fgColor theme="0"/>
        <bgColor indexed="64"/>
      </patternFill>
    </fill>
    <fill>
      <patternFill patternType="solid">
        <fgColor theme="2"/>
        <bgColor indexed="64"/>
      </patternFill>
    </fill>
    <fill>
      <patternFill patternType="solid">
        <fgColor theme="2" tint="-0.499984740745262"/>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7" tint="0.39997558519241921"/>
        <bgColor indexed="64"/>
      </patternFill>
    </fill>
    <fill>
      <patternFill patternType="solid">
        <fgColor rgb="FF92D050"/>
        <bgColor indexed="64"/>
      </patternFill>
    </fill>
    <fill>
      <patternFill patternType="solid">
        <fgColor theme="3" tint="0.39997558519241921"/>
        <bgColor indexed="64"/>
      </patternFill>
    </fill>
    <fill>
      <patternFill patternType="solid">
        <fgColor rgb="FF7030A0"/>
        <bgColor indexed="64"/>
      </patternFill>
    </fill>
    <fill>
      <patternFill patternType="solid">
        <fgColor rgb="FFC00000"/>
        <bgColor indexed="64"/>
      </patternFill>
    </fill>
    <fill>
      <patternFill patternType="solid">
        <fgColor rgb="FF00B050"/>
        <bgColor indexed="64"/>
      </patternFill>
    </fill>
    <fill>
      <patternFill patternType="solid">
        <fgColor theme="6"/>
        <bgColor indexed="64"/>
      </patternFill>
    </fill>
    <fill>
      <patternFill patternType="solid">
        <fgColor rgb="FFFFFFCC"/>
      </patternFill>
    </fill>
    <fill>
      <patternFill patternType="solid">
        <fgColor theme="8" tint="-0.499984740745262"/>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3"/>
        <bgColor indexed="64"/>
      </patternFill>
    </fill>
  </fills>
  <borders count="35">
    <border>
      <left/>
      <right/>
      <top/>
      <bottom/>
      <diagonal/>
    </border>
    <border>
      <left/>
      <right/>
      <top/>
      <bottom style="thick">
        <color theme="4" tint="0.499984740745262"/>
      </bottom>
      <diagonal/>
    </border>
    <border>
      <left/>
      <right/>
      <top/>
      <bottom style="medium">
        <color theme="4" tint="0.39997558519241921"/>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
      <left style="thin">
        <color rgb="FFB2B2B2"/>
      </left>
      <right style="thin">
        <color rgb="FFB2B2B2"/>
      </right>
      <top style="thin">
        <color rgb="FFB2B2B2"/>
      </top>
      <bottom style="thin">
        <color rgb="FFB2B2B2"/>
      </bottom>
      <diagonal/>
    </border>
    <border>
      <left style="double">
        <color indexed="64"/>
      </left>
      <right/>
      <top/>
      <bottom/>
      <diagonal/>
    </border>
    <border>
      <left/>
      <right style="double">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double">
        <color auto="1"/>
      </left>
      <right style="double">
        <color auto="1"/>
      </right>
      <top/>
      <bottom/>
      <diagonal/>
    </border>
    <border>
      <left style="double">
        <color auto="1"/>
      </left>
      <right/>
      <top style="double">
        <color auto="1"/>
      </top>
      <bottom style="double">
        <color auto="1"/>
      </bottom>
      <diagonal/>
    </border>
    <border>
      <left/>
      <right style="double">
        <color auto="1"/>
      </right>
      <top style="double">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top/>
      <bottom style="double">
        <color auto="1"/>
      </bottom>
      <diagonal/>
    </border>
    <border>
      <left/>
      <right/>
      <top/>
      <bottom style="double">
        <color auto="1"/>
      </bottom>
      <diagonal/>
    </border>
    <border>
      <left/>
      <right/>
      <top style="double">
        <color auto="1"/>
      </top>
      <bottom style="double">
        <color auto="1"/>
      </bottom>
      <diagonal/>
    </border>
    <border>
      <left style="double">
        <color auto="1"/>
      </left>
      <right style="double">
        <color auto="1"/>
      </right>
      <top style="double">
        <color auto="1"/>
      </top>
      <bottom style="double">
        <color auto="1"/>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s>
  <cellStyleXfs count="7">
    <xf numFmtId="0" fontId="0" fillId="0" borderId="0"/>
    <xf numFmtId="0" fontId="1" fillId="0" borderId="1" applyNumberFormat="0" applyFill="0" applyAlignment="0" applyProtection="0"/>
    <xf numFmtId="0" fontId="2" fillId="0" borderId="2" applyNumberFormat="0" applyFill="0" applyAlignment="0" applyProtection="0"/>
    <xf numFmtId="0" fontId="3" fillId="2" borderId="0" applyNumberFormat="0" applyBorder="0" applyAlignment="0" applyProtection="0"/>
    <xf numFmtId="0" fontId="4" fillId="0" borderId="0" applyNumberFormat="0" applyFill="0" applyBorder="0" applyAlignment="0" applyProtection="0"/>
    <xf numFmtId="0" fontId="39" fillId="18" borderId="18" applyNumberFormat="0" applyFont="0" applyAlignment="0" applyProtection="0"/>
    <xf numFmtId="164" fontId="39" fillId="0" borderId="0" applyFont="0" applyFill="0" applyBorder="0" applyAlignment="0" applyProtection="0"/>
  </cellStyleXfs>
  <cellXfs count="250">
    <xf numFmtId="0" fontId="0" fillId="0" borderId="0" xfId="0"/>
    <xf numFmtId="12" fontId="21" fillId="0" borderId="12" xfId="1" applyNumberFormat="1" applyFont="1" applyBorder="1" applyAlignment="1" applyProtection="1">
      <alignment horizontal="right" vertical="center"/>
    </xf>
    <xf numFmtId="0" fontId="15" fillId="10" borderId="0" xfId="0" applyFont="1" applyFill="1"/>
    <xf numFmtId="0" fontId="19" fillId="10" borderId="0" xfId="1" applyFont="1" applyFill="1" applyBorder="1" applyAlignment="1">
      <alignment vertical="center"/>
    </xf>
    <xf numFmtId="0" fontId="15" fillId="10" borderId="0" xfId="0" applyFont="1" applyFill="1" applyAlignment="1">
      <alignment horizontal="center" vertical="center"/>
    </xf>
    <xf numFmtId="0" fontId="33" fillId="10" borderId="0" xfId="0" applyFont="1" applyFill="1"/>
    <xf numFmtId="0" fontId="17" fillId="10" borderId="0" xfId="1" applyFont="1" applyFill="1" applyBorder="1" applyAlignment="1">
      <alignment horizontal="center" vertical="center"/>
    </xf>
    <xf numFmtId="0" fontId="33" fillId="10" borderId="0" xfId="0" applyFont="1" applyFill="1" applyAlignment="1">
      <alignment horizontal="center" vertical="center"/>
    </xf>
    <xf numFmtId="0" fontId="29" fillId="10" borderId="0" xfId="0" applyFont="1" applyFill="1"/>
    <xf numFmtId="0" fontId="21" fillId="10" borderId="0" xfId="1" applyFont="1" applyFill="1" applyBorder="1" applyAlignment="1" applyProtection="1">
      <alignment horizontal="center" vertical="center"/>
    </xf>
    <xf numFmtId="0" fontId="22" fillId="10" borderId="0" xfId="1" applyFont="1" applyFill="1" applyBorder="1" applyAlignment="1" applyProtection="1">
      <alignment horizontal="center" vertical="center"/>
    </xf>
    <xf numFmtId="166" fontId="21" fillId="10" borderId="0" xfId="1" applyNumberFormat="1" applyFont="1" applyFill="1" applyBorder="1" applyAlignment="1" applyProtection="1">
      <alignment horizontal="center" vertical="center"/>
    </xf>
    <xf numFmtId="12" fontId="21" fillId="10" borderId="0" xfId="1" applyNumberFormat="1" applyFont="1" applyFill="1" applyBorder="1" applyAlignment="1" applyProtection="1">
      <alignment horizontal="right" vertical="center"/>
    </xf>
    <xf numFmtId="12" fontId="21" fillId="10" borderId="0" xfId="1" applyNumberFormat="1" applyFont="1" applyFill="1" applyBorder="1" applyAlignment="1" applyProtection="1">
      <alignment vertical="center"/>
    </xf>
    <xf numFmtId="12" fontId="22" fillId="10" borderId="0" xfId="1" applyNumberFormat="1" applyFont="1" applyFill="1" applyBorder="1" applyAlignment="1" applyProtection="1">
      <alignment horizontal="right" vertical="center" indent="1"/>
    </xf>
    <xf numFmtId="0" fontId="22" fillId="10" borderId="0" xfId="1" applyNumberFormat="1" applyFont="1" applyFill="1" applyBorder="1" applyAlignment="1">
      <alignment horizontal="center" vertical="center"/>
    </xf>
    <xf numFmtId="2" fontId="14" fillId="10" borderId="0" xfId="4" applyNumberFormat="1" applyFont="1" applyFill="1" applyBorder="1" applyAlignment="1">
      <alignment vertical="center"/>
    </xf>
    <xf numFmtId="2" fontId="18" fillId="10" borderId="0" xfId="0" applyNumberFormat="1" applyFont="1" applyFill="1" applyAlignment="1">
      <alignment horizontal="center" vertical="center"/>
    </xf>
    <xf numFmtId="2" fontId="22" fillId="10" borderId="0" xfId="1" applyNumberFormat="1" applyFont="1" applyFill="1" applyBorder="1" applyAlignment="1">
      <alignment horizontal="center" vertical="center"/>
    </xf>
    <xf numFmtId="2" fontId="32" fillId="10" borderId="0" xfId="4" applyNumberFormat="1" applyFont="1" applyFill="1" applyBorder="1" applyAlignment="1">
      <alignment vertical="center"/>
    </xf>
    <xf numFmtId="0" fontId="18" fillId="10" borderId="0" xfId="0" applyFont="1" applyFill="1" applyAlignment="1">
      <alignment vertical="center"/>
    </xf>
    <xf numFmtId="0" fontId="20" fillId="5" borderId="0" xfId="1" applyFont="1" applyFill="1" applyBorder="1" applyAlignment="1" applyProtection="1">
      <alignment horizontal="center" vertical="center"/>
    </xf>
    <xf numFmtId="0" fontId="22" fillId="0" borderId="0" xfId="1" applyFont="1" applyBorder="1" applyAlignment="1" applyProtection="1">
      <alignment horizontal="center" vertical="center"/>
    </xf>
    <xf numFmtId="0" fontId="22" fillId="0" borderId="0" xfId="1" applyFont="1" applyBorder="1" applyAlignment="1" applyProtection="1">
      <alignment horizontal="center" vertical="center" wrapText="1"/>
    </xf>
    <xf numFmtId="0" fontId="20" fillId="5" borderId="13" xfId="1" applyFont="1" applyFill="1" applyBorder="1" applyAlignment="1" applyProtection="1">
      <alignment horizontal="center" vertical="center"/>
    </xf>
    <xf numFmtId="0" fontId="20" fillId="5" borderId="14" xfId="1" applyFont="1" applyFill="1" applyBorder="1" applyAlignment="1" applyProtection="1">
      <alignment horizontal="center" vertical="center"/>
    </xf>
    <xf numFmtId="0" fontId="22" fillId="0" borderId="13" xfId="1" applyFont="1" applyBorder="1" applyAlignment="1" applyProtection="1">
      <alignment horizontal="center" vertical="center"/>
    </xf>
    <xf numFmtId="0" fontId="22" fillId="7" borderId="14" xfId="1" applyFont="1" applyFill="1" applyBorder="1" applyAlignment="1" applyProtection="1">
      <alignment horizontal="center" vertical="center"/>
    </xf>
    <xf numFmtId="0" fontId="22" fillId="8" borderId="14" xfId="1" applyFont="1" applyFill="1" applyBorder="1" applyAlignment="1" applyProtection="1">
      <alignment horizontal="center" vertical="center"/>
    </xf>
    <xf numFmtId="0" fontId="22" fillId="0" borderId="15" xfId="1" applyFont="1" applyBorder="1" applyAlignment="1" applyProtection="1">
      <alignment horizontal="center" vertical="center"/>
    </xf>
    <xf numFmtId="0" fontId="22" fillId="0" borderId="6" xfId="1" applyFont="1" applyBorder="1" applyAlignment="1" applyProtection="1">
      <alignment horizontal="center" vertical="center"/>
    </xf>
    <xf numFmtId="0" fontId="22" fillId="8" borderId="12" xfId="1" applyFont="1" applyFill="1" applyBorder="1" applyAlignment="1" applyProtection="1">
      <alignment horizontal="center" vertical="center"/>
    </xf>
    <xf numFmtId="2" fontId="34" fillId="15" borderId="0" xfId="2" applyNumberFormat="1" applyFont="1" applyFill="1" applyBorder="1" applyAlignment="1" applyProtection="1">
      <alignment horizontal="right" vertical="top"/>
    </xf>
    <xf numFmtId="2" fontId="34" fillId="14" borderId="0" xfId="2" applyNumberFormat="1" applyFont="1" applyFill="1" applyBorder="1" applyAlignment="1" applyProtection="1">
      <alignment horizontal="left" wrapText="1"/>
    </xf>
    <xf numFmtId="0" fontId="16" fillId="5" borderId="0" xfId="1" applyNumberFormat="1" applyFont="1" applyFill="1" applyBorder="1" applyAlignment="1">
      <alignment horizontal="center" vertical="center"/>
    </xf>
    <xf numFmtId="166" fontId="21" fillId="0" borderId="0" xfId="1" applyNumberFormat="1" applyFont="1" applyBorder="1" applyAlignment="1" applyProtection="1">
      <alignment horizontal="center" vertical="center"/>
    </xf>
    <xf numFmtId="0" fontId="22" fillId="0" borderId="0" xfId="1" applyNumberFormat="1" applyFont="1" applyFill="1" applyBorder="1" applyAlignment="1">
      <alignment horizontal="center" vertical="center"/>
    </xf>
    <xf numFmtId="0" fontId="30" fillId="4" borderId="9" xfId="1" applyFont="1" applyFill="1" applyBorder="1" applyAlignment="1" applyProtection="1">
      <alignment horizontal="center" vertical="center"/>
    </xf>
    <xf numFmtId="0" fontId="20" fillId="5" borderId="17" xfId="1" applyFont="1" applyFill="1" applyBorder="1" applyAlignment="1" applyProtection="1">
      <alignment horizontal="center" vertical="center"/>
    </xf>
    <xf numFmtId="0" fontId="21" fillId="0" borderId="17" xfId="1" applyFont="1" applyBorder="1" applyAlignment="1" applyProtection="1">
      <alignment horizontal="center" vertical="center"/>
    </xf>
    <xf numFmtId="0" fontId="21" fillId="0" borderId="11" xfId="1" applyFont="1" applyBorder="1" applyAlignment="1" applyProtection="1">
      <alignment horizontal="center" vertical="center"/>
    </xf>
    <xf numFmtId="2" fontId="20" fillId="5" borderId="13" xfId="1" applyNumberFormat="1" applyFont="1" applyFill="1" applyBorder="1" applyAlignment="1" applyProtection="1">
      <alignment horizontal="center" vertical="center" wrapText="1"/>
    </xf>
    <xf numFmtId="2" fontId="20" fillId="5" borderId="14" xfId="1" applyNumberFormat="1" applyFont="1" applyFill="1" applyBorder="1" applyAlignment="1" applyProtection="1">
      <alignment horizontal="center" vertical="center" wrapText="1"/>
    </xf>
    <xf numFmtId="166" fontId="21" fillId="0" borderId="13" xfId="1" applyNumberFormat="1" applyFont="1" applyBorder="1" applyAlignment="1" applyProtection="1">
      <alignment horizontal="center" vertical="center"/>
    </xf>
    <xf numFmtId="12" fontId="21" fillId="0" borderId="14" xfId="1" applyNumberFormat="1" applyFont="1" applyBorder="1" applyAlignment="1" applyProtection="1">
      <alignment horizontal="right" vertical="center"/>
    </xf>
    <xf numFmtId="166" fontId="21" fillId="0" borderId="15" xfId="1" applyNumberFormat="1" applyFont="1" applyBorder="1" applyAlignment="1" applyProtection="1">
      <alignment horizontal="center" vertical="center"/>
    </xf>
    <xf numFmtId="166" fontId="21" fillId="0" borderId="6" xfId="1" applyNumberFormat="1" applyFont="1" applyBorder="1" applyAlignment="1" applyProtection="1">
      <alignment horizontal="center" vertical="center"/>
    </xf>
    <xf numFmtId="0" fontId="20" fillId="5" borderId="14" xfId="1" applyNumberFormat="1" applyFont="1" applyFill="1" applyBorder="1" applyAlignment="1" applyProtection="1">
      <alignment horizontal="center" vertical="center"/>
    </xf>
    <xf numFmtId="12" fontId="21" fillId="0" borderId="13" xfId="1" applyNumberFormat="1" applyFont="1" applyBorder="1" applyAlignment="1" applyProtection="1">
      <alignment vertical="center"/>
    </xf>
    <xf numFmtId="12" fontId="21" fillId="0" borderId="15" xfId="1" applyNumberFormat="1" applyFont="1" applyBorder="1" applyAlignment="1" applyProtection="1">
      <alignment vertical="center"/>
    </xf>
    <xf numFmtId="0" fontId="16" fillId="5" borderId="13" xfId="1" applyNumberFormat="1" applyFont="1" applyFill="1" applyBorder="1" applyAlignment="1" applyProtection="1">
      <alignment horizontal="center" vertical="center"/>
    </xf>
    <xf numFmtId="0" fontId="16" fillId="5" borderId="14" xfId="1" applyNumberFormat="1" applyFont="1" applyFill="1" applyBorder="1" applyAlignment="1">
      <alignment horizontal="center" vertical="center"/>
    </xf>
    <xf numFmtId="0" fontId="22" fillId="0" borderId="14" xfId="1" applyNumberFormat="1" applyFont="1" applyBorder="1" applyAlignment="1">
      <alignment horizontal="center" vertical="center"/>
    </xf>
    <xf numFmtId="0" fontId="22" fillId="0" borderId="6" xfId="1" applyNumberFormat="1" applyFont="1" applyFill="1" applyBorder="1" applyAlignment="1">
      <alignment horizontal="center" vertical="center"/>
    </xf>
    <xf numFmtId="0" fontId="22" fillId="0" borderId="12" xfId="1" applyNumberFormat="1" applyFont="1" applyBorder="1" applyAlignment="1">
      <alignment horizontal="center" vertical="center"/>
    </xf>
    <xf numFmtId="0" fontId="6" fillId="10" borderId="0" xfId="0" applyFont="1" applyFill="1" applyAlignment="1">
      <alignment vertical="center" wrapText="1"/>
    </xf>
    <xf numFmtId="12" fontId="21" fillId="0" borderId="17" xfId="1" applyNumberFormat="1" applyFont="1" applyBorder="1" applyAlignment="1" applyProtection="1">
      <alignment horizontal="right" vertical="center"/>
    </xf>
    <xf numFmtId="12" fontId="21" fillId="0" borderId="11" xfId="1" applyNumberFormat="1" applyFont="1" applyBorder="1" applyAlignment="1" applyProtection="1">
      <alignment horizontal="right" vertical="center"/>
    </xf>
    <xf numFmtId="0" fontId="40" fillId="0" borderId="16" xfId="1" applyFont="1" applyBorder="1" applyAlignment="1" applyProtection="1">
      <alignment horizontal="center" vertical="center"/>
    </xf>
    <xf numFmtId="166" fontId="44" fillId="0" borderId="16" xfId="1" applyNumberFormat="1" applyFont="1" applyBorder="1" applyAlignment="1" applyProtection="1">
      <alignment horizontal="center" vertical="center"/>
    </xf>
    <xf numFmtId="2" fontId="45" fillId="5" borderId="16" xfId="1" applyNumberFormat="1" applyFont="1" applyFill="1" applyBorder="1" applyAlignment="1" applyProtection="1">
      <alignment horizontal="center" vertical="center" wrapText="1"/>
    </xf>
    <xf numFmtId="0" fontId="48" fillId="4" borderId="16" xfId="1" applyFont="1" applyFill="1" applyBorder="1" applyAlignment="1" applyProtection="1">
      <alignment horizontal="center" vertical="center" wrapText="1"/>
    </xf>
    <xf numFmtId="2" fontId="43" fillId="15" borderId="16" xfId="2" applyNumberFormat="1" applyFont="1" applyFill="1" applyBorder="1" applyAlignment="1" applyProtection="1">
      <alignment horizontal="right" vertical="top"/>
    </xf>
    <xf numFmtId="2" fontId="43" fillId="14" borderId="16" xfId="2" applyNumberFormat="1" applyFont="1" applyFill="1" applyBorder="1" applyAlignment="1" applyProtection="1">
      <alignment horizontal="left" wrapText="1"/>
    </xf>
    <xf numFmtId="0" fontId="45" fillId="5" borderId="16" xfId="1" applyFont="1" applyFill="1" applyBorder="1" applyAlignment="1" applyProtection="1">
      <alignment horizontal="center" vertical="center"/>
    </xf>
    <xf numFmtId="0" fontId="45" fillId="5" borderId="16" xfId="1" applyNumberFormat="1" applyFont="1" applyFill="1" applyBorder="1" applyAlignment="1" applyProtection="1">
      <alignment horizontal="center" vertical="center"/>
    </xf>
    <xf numFmtId="12" fontId="22" fillId="0" borderId="13" xfId="1" applyNumberFormat="1" applyFont="1" applyFill="1" applyBorder="1" applyAlignment="1" applyProtection="1">
      <alignment horizontal="right" vertical="center"/>
    </xf>
    <xf numFmtId="12" fontId="22" fillId="0" borderId="15" xfId="1" applyNumberFormat="1" applyFont="1" applyFill="1" applyBorder="1" applyAlignment="1" applyProtection="1">
      <alignment horizontal="right" vertical="center"/>
    </xf>
    <xf numFmtId="0" fontId="11" fillId="10" borderId="0" xfId="0" applyFont="1" applyFill="1" applyAlignment="1">
      <alignment vertical="center"/>
    </xf>
    <xf numFmtId="0" fontId="28" fillId="10" borderId="0" xfId="5" applyFont="1" applyFill="1" applyBorder="1" applyAlignment="1">
      <alignment vertical="center" textRotation="45"/>
    </xf>
    <xf numFmtId="1" fontId="51" fillId="10" borderId="29" xfId="1" applyNumberFormat="1" applyFont="1" applyFill="1" applyBorder="1" applyAlignment="1">
      <alignment horizontal="center" vertical="center"/>
    </xf>
    <xf numFmtId="1" fontId="51" fillId="10" borderId="30" xfId="1" applyNumberFormat="1" applyFont="1" applyFill="1" applyBorder="1" applyAlignment="1">
      <alignment horizontal="center" vertical="center"/>
    </xf>
    <xf numFmtId="1" fontId="51" fillId="10" borderId="25" xfId="1" applyNumberFormat="1" applyFont="1" applyFill="1" applyBorder="1" applyAlignment="1">
      <alignment horizontal="center" vertical="center"/>
    </xf>
    <xf numFmtId="1" fontId="51" fillId="10" borderId="31" xfId="1" applyNumberFormat="1" applyFont="1" applyFill="1" applyBorder="1" applyAlignment="1">
      <alignment horizontal="center" vertical="center"/>
    </xf>
    <xf numFmtId="0" fontId="50" fillId="21" borderId="25" xfId="0" applyFont="1" applyFill="1" applyBorder="1" applyAlignment="1">
      <alignment horizontal="center" vertical="center"/>
    </xf>
    <xf numFmtId="0" fontId="50" fillId="21" borderId="31" xfId="0" applyFont="1" applyFill="1" applyBorder="1" applyAlignment="1">
      <alignment horizontal="center" vertical="center"/>
    </xf>
    <xf numFmtId="0" fontId="50" fillId="21" borderId="31" xfId="1" applyFont="1" applyFill="1" applyBorder="1" applyAlignment="1">
      <alignment horizontal="center" vertical="center"/>
    </xf>
    <xf numFmtId="0" fontId="20" fillId="5" borderId="0" xfId="1" applyNumberFormat="1" applyFont="1" applyFill="1" applyBorder="1" applyAlignment="1" applyProtection="1">
      <alignment horizontal="center" vertical="center"/>
    </xf>
    <xf numFmtId="12" fontId="21" fillId="0" borderId="0" xfId="1" applyNumberFormat="1" applyFont="1" applyBorder="1" applyAlignment="1" applyProtection="1">
      <alignment horizontal="right" vertical="center"/>
    </xf>
    <xf numFmtId="12" fontId="21" fillId="0" borderId="6" xfId="1" applyNumberFormat="1" applyFont="1" applyBorder="1" applyAlignment="1" applyProtection="1">
      <alignment horizontal="right" vertical="center"/>
    </xf>
    <xf numFmtId="0" fontId="52" fillId="5" borderId="16" xfId="1" applyFont="1" applyFill="1" applyBorder="1" applyAlignment="1" applyProtection="1">
      <alignment horizontal="center" vertical="center" wrapText="1"/>
    </xf>
    <xf numFmtId="0" fontId="53" fillId="0" borderId="16" xfId="0" applyFont="1" applyBorder="1" applyAlignment="1">
      <alignment horizontal="center" vertical="center" wrapText="1"/>
    </xf>
    <xf numFmtId="12" fontId="51" fillId="0" borderId="14" xfId="1" applyNumberFormat="1" applyFont="1" applyBorder="1" applyAlignment="1" applyProtection="1">
      <alignment vertical="center"/>
    </xf>
    <xf numFmtId="12" fontId="51" fillId="0" borderId="12" xfId="1" applyNumberFormat="1" applyFont="1" applyBorder="1" applyAlignment="1" applyProtection="1">
      <alignment vertical="center"/>
    </xf>
    <xf numFmtId="0" fontId="20" fillId="5" borderId="14" xfId="1" applyFont="1" applyFill="1" applyBorder="1" applyAlignment="1" applyProtection="1">
      <alignment horizontal="center" vertical="center" wrapText="1"/>
    </xf>
    <xf numFmtId="0" fontId="10" fillId="0" borderId="0" xfId="0" applyFont="1"/>
    <xf numFmtId="0" fontId="12" fillId="0" borderId="0" xfId="0" applyFont="1" applyAlignment="1">
      <alignment horizontal="center" vertical="center"/>
    </xf>
    <xf numFmtId="166" fontId="9" fillId="0" borderId="0" xfId="0" applyNumberFormat="1" applyFont="1" applyAlignment="1">
      <alignment horizontal="center" vertical="center"/>
    </xf>
    <xf numFmtId="0" fontId="9" fillId="0" borderId="0" xfId="0" applyFont="1" applyAlignment="1">
      <alignment horizontal="center" vertical="center"/>
    </xf>
    <xf numFmtId="0" fontId="12" fillId="0" borderId="0" xfId="0" applyFont="1" applyAlignment="1">
      <alignment vertical="center"/>
    </xf>
    <xf numFmtId="0" fontId="10" fillId="0" borderId="0" xfId="0" applyFont="1" applyAlignment="1">
      <alignment horizontal="center" vertical="center"/>
    </xf>
    <xf numFmtId="0" fontId="24" fillId="0" borderId="0" xfId="0" applyFont="1"/>
    <xf numFmtId="0" fontId="8" fillId="0" borderId="0" xfId="2" applyNumberFormat="1" applyFont="1" applyFill="1" applyBorder="1" applyAlignment="1" applyProtection="1">
      <alignment horizontal="center" vertical="center"/>
    </xf>
    <xf numFmtId="2" fontId="9" fillId="0" borderId="0" xfId="2" applyNumberFormat="1" applyFont="1" applyFill="1" applyBorder="1" applyAlignment="1" applyProtection="1">
      <alignment horizontal="center" vertical="center"/>
    </xf>
    <xf numFmtId="2" fontId="13" fillId="0" borderId="0" xfId="2" applyNumberFormat="1" applyFont="1" applyFill="1" applyBorder="1" applyAlignment="1" applyProtection="1">
      <alignment horizontal="center" vertical="center"/>
    </xf>
    <xf numFmtId="0" fontId="25" fillId="0" borderId="0" xfId="0" applyFont="1"/>
    <xf numFmtId="0" fontId="9" fillId="3" borderId="0" xfId="1" applyFont="1" applyFill="1" applyBorder="1" applyAlignment="1" applyProtection="1">
      <alignment vertical="center"/>
      <protection locked="0"/>
    </xf>
    <xf numFmtId="0" fontId="9" fillId="3" borderId="0" xfId="1" applyFont="1" applyFill="1" applyBorder="1" applyAlignment="1" applyProtection="1">
      <alignment horizontal="center" vertical="center"/>
      <protection locked="0"/>
    </xf>
    <xf numFmtId="2" fontId="9" fillId="3" borderId="0" xfId="1" applyNumberFormat="1" applyFont="1" applyFill="1" applyBorder="1" applyAlignment="1" applyProtection="1">
      <alignment vertical="center"/>
      <protection locked="0"/>
    </xf>
    <xf numFmtId="2" fontId="9" fillId="3" borderId="0" xfId="1" applyNumberFormat="1" applyFont="1" applyFill="1" applyBorder="1" applyAlignment="1" applyProtection="1">
      <alignment horizontal="center" vertical="center"/>
      <protection locked="0"/>
    </xf>
    <xf numFmtId="0" fontId="11" fillId="9" borderId="0" xfId="2" applyFont="1" applyFill="1" applyBorder="1" applyAlignment="1" applyProtection="1">
      <alignment horizontal="center" vertical="center"/>
    </xf>
    <xf numFmtId="0" fontId="11" fillId="9" borderId="0" xfId="2" applyNumberFormat="1" applyFont="1" applyFill="1" applyBorder="1" applyAlignment="1" applyProtection="1">
      <alignment horizontal="center" vertical="center"/>
    </xf>
    <xf numFmtId="2" fontId="11" fillId="9" borderId="0" xfId="2" applyNumberFormat="1" applyFont="1" applyFill="1" applyBorder="1" applyAlignment="1" applyProtection="1">
      <alignment horizontal="center" vertical="center"/>
    </xf>
    <xf numFmtId="2" fontId="8" fillId="15" borderId="0" xfId="2" applyNumberFormat="1" applyFont="1" applyFill="1" applyBorder="1" applyAlignment="1" applyProtection="1">
      <alignment horizontal="right" vertical="top"/>
    </xf>
    <xf numFmtId="2" fontId="8" fillId="14" borderId="0" xfId="2" applyNumberFormat="1" applyFont="1" applyFill="1" applyBorder="1" applyAlignment="1" applyProtection="1">
      <alignment horizontal="left"/>
    </xf>
    <xf numFmtId="165" fontId="13" fillId="0" borderId="0" xfId="2" applyNumberFormat="1" applyFont="1" applyBorder="1" applyAlignment="1" applyProtection="1">
      <alignment horizontal="center" vertical="center"/>
    </xf>
    <xf numFmtId="165" fontId="8" fillId="6" borderId="0" xfId="2" applyNumberFormat="1" applyFont="1" applyFill="1" applyBorder="1" applyAlignment="1" applyProtection="1">
      <alignment horizontal="center" vertical="center"/>
    </xf>
    <xf numFmtId="0" fontId="9" fillId="0" borderId="0" xfId="2" applyNumberFormat="1" applyFont="1" applyBorder="1" applyAlignment="1" applyProtection="1">
      <alignment horizontal="center" vertical="center"/>
      <protection locked="0"/>
    </xf>
    <xf numFmtId="0" fontId="55" fillId="10" borderId="21" xfId="0" applyFont="1" applyFill="1" applyBorder="1" applyAlignment="1">
      <alignment horizontal="center" vertical="center"/>
    </xf>
    <xf numFmtId="0" fontId="55" fillId="10" borderId="22" xfId="0" applyFont="1" applyFill="1" applyBorder="1" applyAlignment="1">
      <alignment horizontal="center" vertical="center"/>
    </xf>
    <xf numFmtId="0" fontId="55" fillId="10" borderId="7" xfId="0" applyFont="1" applyFill="1" applyBorder="1" applyAlignment="1">
      <alignment horizontal="center" vertical="center"/>
    </xf>
    <xf numFmtId="0" fontId="55" fillId="10" borderId="8" xfId="0" applyFont="1" applyFill="1" applyBorder="1" applyAlignment="1">
      <alignment horizontal="center" vertical="center"/>
    </xf>
    <xf numFmtId="0" fontId="55" fillId="10" borderId="0" xfId="0" applyFont="1" applyFill="1" applyAlignment="1">
      <alignment horizontal="center" vertical="center"/>
    </xf>
    <xf numFmtId="0" fontId="55" fillId="10" borderId="14" xfId="0" applyFont="1" applyFill="1" applyBorder="1" applyAlignment="1">
      <alignment horizontal="center" vertical="center"/>
    </xf>
    <xf numFmtId="2" fontId="55" fillId="10" borderId="8" xfId="0" applyNumberFormat="1" applyFont="1" applyFill="1" applyBorder="1" applyAlignment="1">
      <alignment horizontal="center" vertical="center"/>
    </xf>
    <xf numFmtId="2" fontId="55" fillId="10" borderId="10" xfId="0" applyNumberFormat="1" applyFont="1" applyFill="1" applyBorder="1" applyAlignment="1">
      <alignment horizontal="center" vertical="center"/>
    </xf>
    <xf numFmtId="0" fontId="55" fillId="10" borderId="8" xfId="1" applyNumberFormat="1" applyFont="1" applyFill="1" applyBorder="1" applyAlignment="1" applyProtection="1">
      <alignment horizontal="center" vertical="center"/>
    </xf>
    <xf numFmtId="0" fontId="55" fillId="10" borderId="8" xfId="0" applyFont="1" applyFill="1" applyBorder="1" applyAlignment="1">
      <alignment horizontal="center" vertical="center" wrapText="1"/>
    </xf>
    <xf numFmtId="0" fontId="4" fillId="0" borderId="0" xfId="4"/>
    <xf numFmtId="0" fontId="36" fillId="10" borderId="10" xfId="0" applyFont="1" applyFill="1" applyBorder="1" applyAlignment="1">
      <alignment horizontal="center" vertical="center" wrapText="1"/>
    </xf>
    <xf numFmtId="1" fontId="61" fillId="6" borderId="31" xfId="1" applyNumberFormat="1" applyFont="1" applyFill="1" applyBorder="1" applyAlignment="1">
      <alignment horizontal="center" vertical="center"/>
    </xf>
    <xf numFmtId="0" fontId="62" fillId="21" borderId="31" xfId="0" applyFont="1" applyFill="1" applyBorder="1" applyAlignment="1">
      <alignment horizontal="center" vertical="center"/>
    </xf>
    <xf numFmtId="0" fontId="62" fillId="21" borderId="31" xfId="1" applyFont="1" applyFill="1" applyBorder="1" applyAlignment="1">
      <alignment horizontal="center" vertical="center"/>
    </xf>
    <xf numFmtId="0" fontId="63" fillId="5" borderId="19" xfId="1" applyFont="1" applyFill="1" applyBorder="1" applyAlignment="1" applyProtection="1">
      <alignment horizontal="center" vertical="center"/>
    </xf>
    <xf numFmtId="0" fontId="63" fillId="5" borderId="0" xfId="1" applyFont="1" applyFill="1" applyBorder="1" applyAlignment="1" applyProtection="1">
      <alignment horizontal="center" vertical="center"/>
    </xf>
    <xf numFmtId="0" fontId="63" fillId="5" borderId="20" xfId="1" applyFont="1" applyFill="1" applyBorder="1" applyAlignment="1" applyProtection="1">
      <alignment horizontal="center" vertical="center"/>
    </xf>
    <xf numFmtId="0" fontId="64" fillId="0" borderId="0" xfId="0" applyFont="1"/>
    <xf numFmtId="2" fontId="65" fillId="7" borderId="19" xfId="2" applyNumberFormat="1" applyFont="1" applyFill="1" applyBorder="1" applyAlignment="1">
      <alignment horizontal="center" vertical="center"/>
    </xf>
    <xf numFmtId="2" fontId="65" fillId="7" borderId="0" xfId="2" applyNumberFormat="1" applyFont="1" applyFill="1" applyBorder="1" applyAlignment="1">
      <alignment horizontal="center" vertical="center"/>
    </xf>
    <xf numFmtId="2" fontId="58" fillId="15" borderId="0" xfId="2" applyNumberFormat="1" applyFont="1" applyFill="1" applyBorder="1" applyAlignment="1" applyProtection="1">
      <alignment horizontal="right" vertical="top" wrapText="1"/>
    </xf>
    <xf numFmtId="2" fontId="58" fillId="14" borderId="0" xfId="2" applyNumberFormat="1" applyFont="1" applyFill="1" applyBorder="1" applyAlignment="1" applyProtection="1">
      <alignment horizontal="left"/>
    </xf>
    <xf numFmtId="2" fontId="65" fillId="7" borderId="20" xfId="2" applyNumberFormat="1" applyFont="1" applyFill="1" applyBorder="1" applyAlignment="1">
      <alignment horizontal="center" vertical="center"/>
    </xf>
    <xf numFmtId="165" fontId="66" fillId="0" borderId="19" xfId="3" applyNumberFormat="1" applyFont="1" applyFill="1" applyBorder="1" applyAlignment="1" applyProtection="1">
      <alignment horizontal="center" vertical="center"/>
      <protection locked="0"/>
    </xf>
    <xf numFmtId="165" fontId="66" fillId="0" borderId="0" xfId="3" applyNumberFormat="1" applyFont="1" applyFill="1" applyBorder="1" applyAlignment="1" applyProtection="1">
      <alignment horizontal="center" vertical="center"/>
      <protection locked="0"/>
    </xf>
    <xf numFmtId="165" fontId="66" fillId="0" borderId="0" xfId="2" applyNumberFormat="1" applyFont="1" applyFill="1" applyBorder="1" applyAlignment="1">
      <alignment horizontal="center" vertical="center"/>
    </xf>
    <xf numFmtId="165" fontId="66" fillId="0" borderId="0" xfId="3" applyNumberFormat="1" applyFont="1" applyFill="1" applyBorder="1" applyAlignment="1">
      <alignment horizontal="center" vertical="center"/>
    </xf>
    <xf numFmtId="165" fontId="66" fillId="0" borderId="20" xfId="3" applyNumberFormat="1" applyFont="1" applyFill="1" applyBorder="1" applyAlignment="1" applyProtection="1">
      <alignment horizontal="center" vertical="center" wrapText="1"/>
      <protection locked="0"/>
    </xf>
    <xf numFmtId="0" fontId="60" fillId="0" borderId="19" xfId="1" applyFont="1" applyBorder="1" applyAlignment="1" applyProtection="1">
      <alignment horizontal="center" vertical="center"/>
    </xf>
    <xf numFmtId="0" fontId="60" fillId="0" borderId="0" xfId="1" applyFont="1" applyBorder="1" applyAlignment="1" applyProtection="1">
      <alignment horizontal="center" vertical="center"/>
    </xf>
    <xf numFmtId="0" fontId="60" fillId="7" borderId="20" xfId="1" applyFont="1" applyFill="1" applyBorder="1" applyAlignment="1" applyProtection="1">
      <alignment horizontal="center" vertical="center"/>
    </xf>
    <xf numFmtId="0" fontId="60" fillId="0" borderId="0" xfId="1" applyFont="1" applyBorder="1" applyAlignment="1" applyProtection="1">
      <alignment horizontal="center" vertical="center" wrapText="1"/>
    </xf>
    <xf numFmtId="0" fontId="60" fillId="8" borderId="20" xfId="1" applyFont="1" applyFill="1" applyBorder="1" applyAlignment="1" applyProtection="1">
      <alignment horizontal="center" vertical="center"/>
    </xf>
    <xf numFmtId="0" fontId="68" fillId="0" borderId="0" xfId="0" applyFont="1"/>
    <xf numFmtId="0" fontId="0" fillId="4" borderId="0" xfId="0" applyFill="1"/>
    <xf numFmtId="0" fontId="28" fillId="11" borderId="0" xfId="2" applyNumberFormat="1" applyFont="1" applyFill="1" applyBorder="1" applyAlignment="1" applyProtection="1">
      <alignment horizontal="center" vertical="center"/>
    </xf>
    <xf numFmtId="0" fontId="55" fillId="4" borderId="0" xfId="0" applyFont="1" applyFill="1" applyAlignment="1">
      <alignment horizontal="center" vertical="center"/>
    </xf>
    <xf numFmtId="0" fontId="69" fillId="0" borderId="0" xfId="0" applyFont="1" applyAlignment="1">
      <alignment horizontal="center" vertical="center"/>
    </xf>
    <xf numFmtId="2" fontId="69" fillId="0" borderId="0" xfId="0" applyNumberFormat="1" applyFont="1" applyAlignment="1">
      <alignment horizontal="center" vertical="center"/>
    </xf>
    <xf numFmtId="165" fontId="55" fillId="10" borderId="0" xfId="0" applyNumberFormat="1" applyFont="1" applyFill="1" applyAlignment="1">
      <alignment horizontal="center" vertical="center"/>
    </xf>
    <xf numFmtId="0" fontId="55" fillId="10" borderId="33" xfId="0" applyFont="1" applyFill="1" applyBorder="1" applyAlignment="1">
      <alignment horizontal="center" vertical="center"/>
    </xf>
    <xf numFmtId="0" fontId="55" fillId="10" borderId="34" xfId="0" applyFont="1" applyFill="1" applyBorder="1" applyAlignment="1">
      <alignment horizontal="center" vertical="center"/>
    </xf>
    <xf numFmtId="2" fontId="73" fillId="10" borderId="0" xfId="4" applyNumberFormat="1" applyFont="1" applyFill="1" applyBorder="1" applyAlignment="1">
      <alignment vertical="center"/>
    </xf>
    <xf numFmtId="2" fontId="11" fillId="10" borderId="0" xfId="4" applyNumberFormat="1" applyFont="1" applyFill="1" applyBorder="1" applyAlignment="1">
      <alignment vertical="center"/>
    </xf>
    <xf numFmtId="0" fontId="72" fillId="12" borderId="19" xfId="2" applyNumberFormat="1" applyFont="1" applyFill="1" applyBorder="1" applyAlignment="1" applyProtection="1">
      <alignment horizontal="center" vertical="center"/>
      <protection locked="0"/>
    </xf>
    <xf numFmtId="0" fontId="72" fillId="12" borderId="0" xfId="2" applyNumberFormat="1" applyFont="1" applyFill="1" applyBorder="1" applyAlignment="1" applyProtection="1">
      <alignment horizontal="center" vertical="center"/>
      <protection locked="0"/>
    </xf>
    <xf numFmtId="0" fontId="72" fillId="12" borderId="20" xfId="2" applyNumberFormat="1" applyFont="1" applyFill="1" applyBorder="1" applyAlignment="1" applyProtection="1">
      <alignment horizontal="center" vertical="center"/>
      <protection locked="0"/>
    </xf>
    <xf numFmtId="0" fontId="67" fillId="4" borderId="19" xfId="2" applyNumberFormat="1" applyFont="1" applyFill="1" applyBorder="1" applyAlignment="1" applyProtection="1">
      <alignment horizontal="center" vertical="center"/>
      <protection locked="0"/>
    </xf>
    <xf numFmtId="0" fontId="67" fillId="4" borderId="0" xfId="2" applyNumberFormat="1" applyFont="1" applyFill="1" applyBorder="1" applyAlignment="1" applyProtection="1">
      <alignment horizontal="center" vertical="center"/>
      <protection locked="0"/>
    </xf>
    <xf numFmtId="0" fontId="67" fillId="4" borderId="20" xfId="2" applyNumberFormat="1" applyFont="1" applyFill="1" applyBorder="1" applyAlignment="1" applyProtection="1">
      <alignment horizontal="center" vertical="center"/>
      <protection locked="0"/>
    </xf>
    <xf numFmtId="0" fontId="71" fillId="4" borderId="19" xfId="1" applyFont="1" applyFill="1" applyBorder="1" applyAlignment="1" applyProtection="1">
      <alignment horizontal="center" vertical="center"/>
    </xf>
    <xf numFmtId="0" fontId="71" fillId="4" borderId="0" xfId="1" applyFont="1" applyFill="1" applyBorder="1" applyAlignment="1" applyProtection="1">
      <alignment horizontal="center" vertical="center"/>
    </xf>
    <xf numFmtId="0" fontId="71" fillId="4" borderId="20" xfId="1" applyFont="1" applyFill="1" applyBorder="1" applyAlignment="1" applyProtection="1">
      <alignment horizontal="center" vertical="center" textRotation="45"/>
    </xf>
    <xf numFmtId="0" fontId="26" fillId="12" borderId="6" xfId="1" applyFont="1" applyFill="1" applyBorder="1" applyAlignment="1" applyProtection="1">
      <alignment horizontal="center" vertical="center"/>
      <protection locked="0"/>
    </xf>
    <xf numFmtId="0" fontId="26" fillId="12" borderId="12" xfId="1" applyFont="1" applyFill="1" applyBorder="1" applyAlignment="1" applyProtection="1">
      <alignment horizontal="center" vertical="center"/>
      <protection locked="0"/>
    </xf>
    <xf numFmtId="0" fontId="7" fillId="0" borderId="16" xfId="0" applyFont="1" applyBorder="1" applyAlignment="1" applyProtection="1">
      <alignment horizontal="center" vertical="center"/>
      <protection locked="0"/>
    </xf>
    <xf numFmtId="0" fontId="6" fillId="3" borderId="16" xfId="0" applyFont="1" applyFill="1" applyBorder="1" applyAlignment="1">
      <alignment horizontal="center" vertical="center" wrapText="1"/>
    </xf>
    <xf numFmtId="12" fontId="41" fillId="20" borderId="16" xfId="1" applyNumberFormat="1" applyFont="1" applyFill="1" applyBorder="1" applyAlignment="1" applyProtection="1">
      <alignment horizontal="center" vertical="center"/>
    </xf>
    <xf numFmtId="2" fontId="45" fillId="5" borderId="16" xfId="1" applyNumberFormat="1" applyFont="1" applyFill="1" applyBorder="1" applyAlignment="1" applyProtection="1">
      <alignment horizontal="center" vertical="center" wrapText="1"/>
    </xf>
    <xf numFmtId="166" fontId="44" fillId="0" borderId="16" xfId="1" applyNumberFormat="1" applyFont="1" applyBorder="1" applyAlignment="1" applyProtection="1">
      <alignment horizontal="center" vertical="center"/>
    </xf>
    <xf numFmtId="0" fontId="26" fillId="19" borderId="16" xfId="1" applyFont="1" applyFill="1" applyBorder="1" applyAlignment="1" applyProtection="1">
      <alignment horizontal="center" vertical="center"/>
    </xf>
    <xf numFmtId="12" fontId="41" fillId="20" borderId="16" xfId="1" applyNumberFormat="1" applyFont="1" applyFill="1" applyBorder="1" applyAlignment="1" applyProtection="1">
      <alignment horizontal="left" vertical="center" indent="2"/>
    </xf>
    <xf numFmtId="2" fontId="46" fillId="5" borderId="16" xfId="1" applyNumberFormat="1" applyFont="1" applyFill="1" applyBorder="1" applyAlignment="1" applyProtection="1">
      <alignment horizontal="center" vertical="center" wrapText="1"/>
    </xf>
    <xf numFmtId="0" fontId="26" fillId="13" borderId="4" xfId="1" applyFont="1" applyFill="1" applyBorder="1" applyAlignment="1" applyProtection="1">
      <alignment horizontal="center" vertical="center"/>
    </xf>
    <xf numFmtId="0" fontId="26" fillId="13" borderId="3" xfId="1" applyFont="1" applyFill="1" applyBorder="1" applyAlignment="1" applyProtection="1">
      <alignment horizontal="center" vertical="center"/>
    </xf>
    <xf numFmtId="0" fontId="26" fillId="12" borderId="3" xfId="1" applyFont="1" applyFill="1" applyBorder="1" applyAlignment="1" applyProtection="1">
      <alignment horizontal="center" vertical="center"/>
    </xf>
    <xf numFmtId="0" fontId="26" fillId="12" borderId="6" xfId="1" applyFont="1" applyFill="1" applyBorder="1" applyAlignment="1" applyProtection="1">
      <alignment horizontal="center" vertical="center"/>
    </xf>
    <xf numFmtId="0" fontId="35" fillId="19" borderId="9" xfId="1" applyNumberFormat="1" applyFont="1" applyFill="1" applyBorder="1" applyAlignment="1" applyProtection="1">
      <alignment horizontal="center" vertical="center" wrapText="1"/>
    </xf>
    <xf numFmtId="0" fontId="35" fillId="19" borderId="17" xfId="1" applyNumberFormat="1" applyFont="1" applyFill="1" applyBorder="1" applyAlignment="1" applyProtection="1">
      <alignment horizontal="center" vertical="center"/>
    </xf>
    <xf numFmtId="0" fontId="42" fillId="6" borderId="7" xfId="0" applyFont="1" applyFill="1" applyBorder="1" applyAlignment="1">
      <alignment horizontal="center" vertical="center"/>
    </xf>
    <xf numFmtId="0" fontId="42" fillId="6" borderId="8" xfId="0" applyFont="1" applyFill="1" applyBorder="1" applyAlignment="1">
      <alignment horizontal="center" vertical="center"/>
    </xf>
    <xf numFmtId="0" fontId="42" fillId="6" borderId="10" xfId="0" applyFont="1" applyFill="1" applyBorder="1" applyAlignment="1">
      <alignment horizontal="center" vertical="center"/>
    </xf>
    <xf numFmtId="0" fontId="30" fillId="4" borderId="4" xfId="1" applyFont="1" applyFill="1" applyBorder="1" applyAlignment="1" applyProtection="1">
      <alignment horizontal="center" vertical="center"/>
    </xf>
    <xf numFmtId="0" fontId="30" fillId="4" borderId="3" xfId="1" applyFont="1" applyFill="1" applyBorder="1" applyAlignment="1" applyProtection="1">
      <alignment horizontal="center" vertical="center"/>
    </xf>
    <xf numFmtId="0" fontId="30" fillId="4" borderId="5" xfId="1" applyFont="1" applyFill="1" applyBorder="1" applyAlignment="1" applyProtection="1">
      <alignment horizontal="center" vertical="center"/>
    </xf>
    <xf numFmtId="0" fontId="26" fillId="13" borderId="6" xfId="1" applyFont="1" applyFill="1" applyBorder="1" applyAlignment="1" applyProtection="1">
      <alignment horizontal="center" vertical="center"/>
      <protection locked="0"/>
    </xf>
    <xf numFmtId="0" fontId="26" fillId="13" borderId="15" xfId="1" applyFont="1" applyFill="1" applyBorder="1" applyAlignment="1" applyProtection="1">
      <alignment horizontal="center" vertical="center"/>
    </xf>
    <xf numFmtId="0" fontId="26" fillId="13" borderId="6" xfId="1" applyFont="1" applyFill="1" applyBorder="1" applyAlignment="1" applyProtection="1">
      <alignment horizontal="center" vertical="center"/>
    </xf>
    <xf numFmtId="0" fontId="26" fillId="0" borderId="3" xfId="1" applyFont="1" applyFill="1" applyBorder="1" applyAlignment="1" applyProtection="1">
      <alignment horizontal="center" vertical="center"/>
    </xf>
    <xf numFmtId="0" fontId="26" fillId="0" borderId="6" xfId="1" applyFont="1" applyFill="1" applyBorder="1" applyAlignment="1" applyProtection="1">
      <alignment horizontal="center" vertical="center"/>
    </xf>
    <xf numFmtId="0" fontId="31" fillId="4" borderId="4" xfId="1" applyFont="1" applyFill="1" applyBorder="1" applyAlignment="1" applyProtection="1">
      <alignment horizontal="center" vertical="center" wrapText="1"/>
    </xf>
    <xf numFmtId="0" fontId="31" fillId="4" borderId="3" xfId="1" applyFont="1" applyFill="1" applyBorder="1" applyAlignment="1" applyProtection="1">
      <alignment horizontal="center" vertical="center" wrapText="1"/>
    </xf>
    <xf numFmtId="0" fontId="31" fillId="4" borderId="5" xfId="1" applyFont="1" applyFill="1" applyBorder="1" applyAlignment="1" applyProtection="1">
      <alignment horizontal="center" vertical="center" wrapText="1"/>
    </xf>
    <xf numFmtId="0" fontId="30" fillId="4" borderId="3" xfId="1" applyNumberFormat="1" applyFont="1" applyFill="1" applyBorder="1" applyAlignment="1" applyProtection="1">
      <alignment horizontal="center" vertical="center"/>
    </xf>
    <xf numFmtId="0" fontId="30" fillId="4" borderId="5" xfId="1" applyNumberFormat="1" applyFont="1" applyFill="1" applyBorder="1" applyAlignment="1" applyProtection="1">
      <alignment horizontal="center" vertical="center"/>
    </xf>
    <xf numFmtId="0" fontId="30" fillId="0" borderId="4" xfId="1" applyNumberFormat="1" applyFont="1" applyFill="1" applyBorder="1" applyAlignment="1" applyProtection="1">
      <alignment horizontal="center" vertical="center"/>
    </xf>
    <xf numFmtId="0" fontId="30" fillId="0" borderId="3" xfId="1" applyNumberFormat="1" applyFont="1" applyFill="1" applyBorder="1" applyAlignment="1" applyProtection="1">
      <alignment horizontal="center" vertical="center"/>
    </xf>
    <xf numFmtId="0" fontId="30" fillId="0" borderId="5" xfId="1" applyNumberFormat="1" applyFont="1" applyFill="1" applyBorder="1" applyAlignment="1" applyProtection="1">
      <alignment horizontal="center" vertical="center"/>
    </xf>
    <xf numFmtId="0" fontId="26" fillId="12" borderId="5" xfId="1" applyFont="1" applyFill="1" applyBorder="1" applyAlignment="1" applyProtection="1">
      <alignment horizontal="center" vertical="center"/>
    </xf>
    <xf numFmtId="0" fontId="58" fillId="6" borderId="16" xfId="1" applyFont="1" applyFill="1" applyBorder="1" applyAlignment="1" applyProtection="1">
      <alignment horizontal="center" vertical="center"/>
    </xf>
    <xf numFmtId="164" fontId="59" fillId="4" borderId="16" xfId="6" applyFont="1" applyFill="1" applyBorder="1" applyAlignment="1" applyProtection="1">
      <alignment horizontal="center" vertical="center"/>
    </xf>
    <xf numFmtId="12" fontId="26" fillId="19" borderId="16" xfId="1" applyNumberFormat="1" applyFont="1" applyFill="1" applyBorder="1" applyAlignment="1" applyProtection="1">
      <alignment horizontal="center" vertical="center"/>
    </xf>
    <xf numFmtId="0" fontId="35" fillId="17" borderId="16" xfId="1" applyNumberFormat="1" applyFont="1" applyFill="1" applyBorder="1" applyAlignment="1" applyProtection="1">
      <alignment horizontal="center" vertical="center" wrapText="1"/>
    </xf>
    <xf numFmtId="0" fontId="41" fillId="20" borderId="16" xfId="1" applyFont="1" applyFill="1" applyBorder="1" applyAlignment="1" applyProtection="1">
      <alignment horizontal="left" vertical="center" indent="2"/>
    </xf>
    <xf numFmtId="0" fontId="47" fillId="4" borderId="16" xfId="1" applyNumberFormat="1" applyFont="1" applyFill="1" applyBorder="1" applyAlignment="1" applyProtection="1">
      <alignment horizontal="center" vertical="center"/>
    </xf>
    <xf numFmtId="0" fontId="47" fillId="4" borderId="16" xfId="1" applyFont="1" applyFill="1" applyBorder="1" applyAlignment="1" applyProtection="1">
      <alignment horizontal="center" vertical="center"/>
    </xf>
    <xf numFmtId="0" fontId="49" fillId="4" borderId="16" xfId="1" applyFont="1" applyFill="1" applyBorder="1" applyAlignment="1" applyProtection="1">
      <alignment horizontal="center" vertical="center" wrapText="1"/>
    </xf>
    <xf numFmtId="0" fontId="46" fillId="5" borderId="16" xfId="1" applyFont="1" applyFill="1" applyBorder="1" applyAlignment="1" applyProtection="1">
      <alignment horizontal="center" vertical="center"/>
    </xf>
    <xf numFmtId="0" fontId="9" fillId="3" borderId="0" xfId="1" applyNumberFormat="1" applyFont="1" applyFill="1" applyBorder="1" applyAlignment="1" applyProtection="1">
      <alignment horizontal="center" vertical="center"/>
    </xf>
    <xf numFmtId="0" fontId="9" fillId="3" borderId="0" xfId="1" applyFont="1" applyFill="1" applyBorder="1" applyAlignment="1" applyProtection="1">
      <alignment horizontal="center" vertical="center"/>
    </xf>
    <xf numFmtId="165" fontId="6" fillId="16" borderId="0" xfId="0" applyNumberFormat="1" applyFont="1" applyFill="1" applyAlignment="1">
      <alignment horizontal="center" vertical="center"/>
    </xf>
    <xf numFmtId="164" fontId="27" fillId="0" borderId="0" xfId="6" applyFont="1" applyFill="1" applyAlignment="1">
      <alignment horizontal="center" vertical="center"/>
    </xf>
    <xf numFmtId="165" fontId="5" fillId="0" borderId="0" xfId="2" applyNumberFormat="1" applyFont="1" applyFill="1" applyBorder="1" applyAlignment="1" applyProtection="1">
      <alignment horizontal="center" vertical="center"/>
    </xf>
    <xf numFmtId="0" fontId="70" fillId="0" borderId="0" xfId="2" applyNumberFormat="1" applyFont="1" applyFill="1" applyBorder="1" applyAlignment="1" applyProtection="1">
      <alignment horizontal="center" vertical="center"/>
    </xf>
    <xf numFmtId="0" fontId="54" fillId="10" borderId="0" xfId="2" applyNumberFormat="1" applyFont="1" applyFill="1" applyBorder="1" applyAlignment="1" applyProtection="1">
      <alignment horizontal="center" vertical="center"/>
    </xf>
    <xf numFmtId="0" fontId="28" fillId="11" borderId="0" xfId="2" applyNumberFormat="1" applyFont="1" applyFill="1" applyBorder="1" applyAlignment="1" applyProtection="1">
      <alignment horizontal="center" vertical="center"/>
    </xf>
    <xf numFmtId="0" fontId="26" fillId="16" borderId="0" xfId="0" applyFont="1" applyFill="1" applyAlignment="1">
      <alignment horizontal="center" vertical="center"/>
    </xf>
    <xf numFmtId="0" fontId="26" fillId="14" borderId="0" xfId="2" applyFont="1" applyFill="1" applyBorder="1" applyAlignment="1" applyProtection="1">
      <alignment horizontal="center" vertical="center"/>
    </xf>
    <xf numFmtId="0" fontId="11" fillId="14" borderId="0" xfId="2" applyNumberFormat="1" applyFont="1" applyFill="1" applyBorder="1" applyAlignment="1" applyProtection="1">
      <alignment horizontal="center" vertical="center"/>
    </xf>
    <xf numFmtId="0" fontId="12" fillId="0" borderId="0" xfId="0" applyFont="1" applyAlignment="1">
      <alignment horizontal="center" vertical="center"/>
    </xf>
    <xf numFmtId="0" fontId="12" fillId="17" borderId="0" xfId="0" applyFont="1" applyFill="1" applyAlignment="1">
      <alignment horizontal="center" vertical="center"/>
    </xf>
    <xf numFmtId="165" fontId="36" fillId="0" borderId="0" xfId="2" applyNumberFormat="1" applyFont="1" applyFill="1" applyBorder="1" applyAlignment="1" applyProtection="1">
      <alignment horizontal="center" vertical="center"/>
    </xf>
    <xf numFmtId="164" fontId="37" fillId="0" borderId="0" xfId="6" applyFont="1" applyFill="1" applyAlignment="1">
      <alignment horizontal="center" vertical="center"/>
    </xf>
    <xf numFmtId="0" fontId="38" fillId="0" borderId="0" xfId="2" applyNumberFormat="1" applyFont="1" applyFill="1" applyBorder="1" applyAlignment="1" applyProtection="1">
      <alignment horizontal="center" vertical="center"/>
    </xf>
    <xf numFmtId="0" fontId="23" fillId="0" borderId="0" xfId="2" applyNumberFormat="1" applyFont="1" applyFill="1" applyBorder="1" applyAlignment="1" applyProtection="1">
      <alignment horizontal="center" vertical="center"/>
    </xf>
    <xf numFmtId="0" fontId="13" fillId="4" borderId="31" xfId="1" applyFont="1" applyFill="1" applyBorder="1" applyAlignment="1" applyProtection="1">
      <alignment horizontal="center" vertical="center"/>
    </xf>
    <xf numFmtId="0" fontId="13" fillId="4" borderId="26" xfId="1" applyFont="1" applyFill="1" applyBorder="1" applyAlignment="1" applyProtection="1">
      <alignment horizontal="center" vertical="center"/>
    </xf>
    <xf numFmtId="164" fontId="30" fillId="4" borderId="25" xfId="6" applyFont="1" applyFill="1" applyBorder="1" applyAlignment="1">
      <alignment horizontal="center" vertical="center"/>
    </xf>
    <xf numFmtId="164" fontId="30" fillId="4" borderId="31" xfId="6" applyFont="1" applyFill="1" applyBorder="1" applyAlignment="1">
      <alignment horizontal="center" vertical="center"/>
    </xf>
    <xf numFmtId="0" fontId="56" fillId="8" borderId="0" xfId="0" applyFont="1" applyFill="1" applyAlignment="1">
      <alignment horizontal="center" vertical="center"/>
    </xf>
    <xf numFmtId="0" fontId="43" fillId="14" borderId="25" xfId="1" applyNumberFormat="1" applyFont="1" applyFill="1" applyBorder="1" applyAlignment="1">
      <alignment horizontal="center" vertical="center"/>
    </xf>
    <xf numFmtId="0" fontId="43" fillId="14" borderId="31" xfId="1" applyNumberFormat="1" applyFont="1" applyFill="1" applyBorder="1" applyAlignment="1">
      <alignment horizontal="center" vertical="center"/>
    </xf>
    <xf numFmtId="164" fontId="30" fillId="4" borderId="29" xfId="6" applyFont="1" applyFill="1" applyBorder="1" applyAlignment="1">
      <alignment horizontal="center" vertical="center"/>
    </xf>
    <xf numFmtId="164" fontId="30" fillId="4" borderId="30" xfId="6" applyFont="1" applyFill="1" applyBorder="1" applyAlignment="1">
      <alignment horizontal="center" vertical="center"/>
    </xf>
    <xf numFmtId="0" fontId="28" fillId="22" borderId="25" xfId="0" applyFont="1" applyFill="1" applyBorder="1" applyAlignment="1">
      <alignment horizontal="center" vertical="center"/>
    </xf>
    <xf numFmtId="0" fontId="28" fillId="22" borderId="26" xfId="0" applyFont="1" applyFill="1" applyBorder="1" applyAlignment="1">
      <alignment horizontal="center" vertical="center"/>
    </xf>
    <xf numFmtId="0" fontId="42" fillId="17" borderId="27" xfId="0" applyFont="1" applyFill="1" applyBorder="1" applyAlignment="1">
      <alignment horizontal="center" vertical="center" textRotation="45"/>
    </xf>
    <xf numFmtId="0" fontId="42" fillId="17" borderId="24" xfId="0" applyFont="1" applyFill="1" applyBorder="1" applyAlignment="1">
      <alignment horizontal="center" vertical="center" textRotation="45"/>
    </xf>
    <xf numFmtId="0" fontId="42" fillId="17" borderId="28" xfId="0" applyFont="1" applyFill="1" applyBorder="1" applyAlignment="1">
      <alignment horizontal="center" vertical="center" textRotation="45"/>
    </xf>
    <xf numFmtId="0" fontId="57" fillId="0" borderId="0" xfId="0" applyFont="1" applyAlignment="1">
      <alignment horizontal="center" vertical="center"/>
    </xf>
    <xf numFmtId="0" fontId="58" fillId="17" borderId="32" xfId="0" applyFont="1" applyFill="1" applyBorder="1" applyAlignment="1">
      <alignment horizontal="center" vertical="center" textRotation="45"/>
    </xf>
    <xf numFmtId="0" fontId="28" fillId="22" borderId="31" xfId="0" applyFont="1" applyFill="1" applyBorder="1" applyAlignment="1">
      <alignment horizontal="center" vertical="center"/>
    </xf>
    <xf numFmtId="0" fontId="28" fillId="14" borderId="31" xfId="1" applyNumberFormat="1" applyFont="1" applyFill="1" applyBorder="1" applyAlignment="1">
      <alignment horizontal="center" vertical="center"/>
    </xf>
    <xf numFmtId="0" fontId="60" fillId="4" borderId="31" xfId="1" applyFont="1" applyFill="1" applyBorder="1" applyAlignment="1" applyProtection="1">
      <alignment horizontal="center" vertical="center"/>
      <protection locked="0"/>
    </xf>
    <xf numFmtId="164" fontId="47" fillId="4" borderId="31" xfId="6" applyFont="1" applyFill="1" applyBorder="1" applyAlignment="1">
      <alignment horizontal="center" vertical="center"/>
    </xf>
    <xf numFmtId="0" fontId="55" fillId="10" borderId="7" xfId="0" applyFont="1" applyFill="1" applyBorder="1" applyAlignment="1">
      <alignment horizontal="center" vertical="center"/>
    </xf>
    <xf numFmtId="0" fontId="55" fillId="10" borderId="8" xfId="0" applyFont="1" applyFill="1" applyBorder="1" applyAlignment="1">
      <alignment horizontal="center" vertical="center"/>
    </xf>
    <xf numFmtId="166" fontId="55" fillId="10" borderId="9" xfId="0" applyNumberFormat="1" applyFont="1" applyFill="1" applyBorder="1" applyAlignment="1">
      <alignment horizontal="center" vertical="center"/>
    </xf>
    <xf numFmtId="166" fontId="55" fillId="10" borderId="11" xfId="0" applyNumberFormat="1" applyFont="1" applyFill="1" applyBorder="1" applyAlignment="1">
      <alignment horizontal="center" vertical="center"/>
    </xf>
    <xf numFmtId="166" fontId="37" fillId="15" borderId="22" xfId="0" applyNumberFormat="1" applyFont="1" applyFill="1" applyBorder="1" applyAlignment="1">
      <alignment horizontal="center" vertical="center"/>
    </xf>
    <xf numFmtId="166" fontId="37" fillId="15" borderId="23" xfId="0" applyNumberFormat="1" applyFont="1" applyFill="1" applyBorder="1" applyAlignment="1">
      <alignment horizontal="center" vertical="center"/>
    </xf>
  </cellXfs>
  <cellStyles count="7">
    <cellStyle name="Accent1" xfId="3" builtinId="29"/>
    <cellStyle name="Currency" xfId="6" builtinId="4"/>
    <cellStyle name="Heading 2" xfId="1" builtinId="17"/>
    <cellStyle name="Heading 3" xfId="2" builtinId="18"/>
    <cellStyle name="Hyperlink" xfId="4" builtinId="8"/>
    <cellStyle name="Normal" xfId="0" builtinId="0"/>
    <cellStyle name="Note" xfId="5" builtinId="10"/>
  </cellStyles>
  <dxfs count="29">
    <dxf>
      <font>
        <color rgb="FF006100"/>
      </font>
      <fill>
        <patternFill>
          <bgColor rgb="FFC6EFCE"/>
        </patternFill>
      </fill>
    </dxf>
    <dxf>
      <font>
        <color rgb="FF9C5700"/>
      </font>
      <fill>
        <patternFill>
          <bgColor rgb="FFFFEB9C"/>
        </patternFill>
      </fill>
    </dxf>
    <dxf>
      <font>
        <color rgb="FFC00000"/>
      </font>
      <fill>
        <patternFill>
          <bgColor theme="7" tint="0.79998168889431442"/>
        </patternFill>
      </fill>
    </dxf>
    <dxf>
      <font>
        <color rgb="FF9C5700"/>
      </font>
      <fill>
        <patternFill>
          <bgColor theme="7" tint="0.79998168889431442"/>
        </patternFill>
      </fill>
    </dxf>
    <dxf>
      <font>
        <color rgb="FFC00000"/>
      </font>
      <fill>
        <patternFill>
          <bgColor rgb="FFFFC7CE"/>
        </patternFill>
      </fill>
    </dxf>
    <dxf>
      <font>
        <color rgb="FFC00000"/>
      </font>
      <fill>
        <patternFill>
          <bgColor rgb="FFFFC7CE"/>
        </patternFill>
      </fill>
    </dxf>
    <dxf>
      <font>
        <color theme="0"/>
      </font>
      <fill>
        <patternFill>
          <bgColor rgb="FF7030A0"/>
        </patternFill>
      </fill>
    </dxf>
    <dxf>
      <font>
        <color theme="0"/>
      </font>
      <fill>
        <patternFill>
          <bgColor rgb="FF7030A0"/>
        </patternFill>
      </fill>
    </dxf>
    <dxf>
      <font>
        <color rgb="FFC00000"/>
      </font>
      <fill>
        <patternFill>
          <bgColor rgb="FFFFC7CE"/>
        </patternFill>
      </fill>
    </dxf>
    <dxf>
      <font>
        <color rgb="FFC00000"/>
      </font>
      <fill>
        <patternFill>
          <bgColor rgb="FFFFC7CE"/>
        </patternFill>
      </fill>
    </dxf>
    <dxf>
      <font>
        <color rgb="FF9C0006"/>
      </font>
      <fill>
        <patternFill>
          <bgColor rgb="FFFFFF00"/>
        </patternFill>
      </fill>
    </dxf>
    <dxf>
      <font>
        <color theme="0"/>
      </font>
      <fill>
        <patternFill>
          <bgColor theme="1"/>
        </patternFill>
      </fill>
    </dxf>
    <dxf>
      <font>
        <color auto="1"/>
      </font>
      <fill>
        <patternFill>
          <bgColor rgb="FFFFFF00"/>
        </patternFill>
      </fill>
    </dxf>
    <dxf>
      <font>
        <color theme="0"/>
      </font>
      <fill>
        <patternFill>
          <bgColor theme="1"/>
        </patternFill>
      </fill>
    </dxf>
    <dxf>
      <font>
        <color rgb="FF9C0006"/>
      </font>
      <fill>
        <patternFill>
          <bgColor rgb="FFFFC7CE"/>
        </patternFill>
      </fill>
    </dxf>
    <dxf>
      <font>
        <color theme="0"/>
      </font>
      <fill>
        <patternFill>
          <bgColor rgb="FF7030A0"/>
        </patternFill>
      </fill>
    </dxf>
    <dxf>
      <font>
        <color rgb="FF9C0006"/>
      </font>
      <fill>
        <patternFill>
          <bgColor rgb="FFFFC7CE"/>
        </patternFill>
      </fill>
    </dxf>
    <dxf>
      <font>
        <color theme="0"/>
      </font>
      <fill>
        <patternFill>
          <bgColor rgb="FF7030A0"/>
        </patternFill>
      </fill>
    </dxf>
    <dxf>
      <font>
        <color rgb="FF9C0006"/>
      </font>
      <fill>
        <patternFill>
          <bgColor rgb="FFFFC7CE"/>
        </patternFill>
      </fill>
    </dxf>
    <dxf>
      <font>
        <color theme="0"/>
      </font>
      <fill>
        <patternFill>
          <bgColor rgb="FF7030A0"/>
        </patternFill>
      </fill>
    </dxf>
    <dxf>
      <font>
        <color rgb="FF9C0006"/>
      </font>
      <fill>
        <patternFill>
          <bgColor rgb="FFFFC7CE"/>
        </patternFill>
      </fill>
    </dxf>
    <dxf>
      <font>
        <color theme="0"/>
      </font>
      <fill>
        <patternFill>
          <bgColor rgb="FF7030A0"/>
        </patternFill>
      </fill>
    </dxf>
    <dxf>
      <font>
        <color rgb="FF9C5700"/>
      </font>
      <fill>
        <patternFill>
          <bgColor rgb="FFFFEB9C"/>
        </patternFill>
      </fill>
    </dxf>
    <dxf>
      <font>
        <color rgb="FF9C5700"/>
      </font>
      <fill>
        <patternFill>
          <bgColor rgb="FFFFEB9C"/>
        </patternFill>
      </fill>
    </dxf>
    <dxf>
      <font>
        <color rgb="FFFF0000"/>
      </font>
      <fill>
        <patternFill>
          <bgColor theme="4" tint="0.79998168889431442"/>
        </patternFill>
      </fill>
    </dxf>
    <dxf>
      <font>
        <color rgb="FFFF0000"/>
      </font>
      <fill>
        <patternFill>
          <bgColor theme="5" tint="0.79998168889431442"/>
        </patternFill>
      </fill>
    </dxf>
    <dxf>
      <fill>
        <patternFill patternType="none">
          <bgColor auto="1"/>
        </patternFill>
      </fill>
    </dxf>
    <dxf>
      <font>
        <color rgb="FFFF0000"/>
      </font>
      <fill>
        <patternFill>
          <bgColor theme="4" tint="0.79998168889431442"/>
        </patternFill>
      </fill>
    </dxf>
    <dxf>
      <font>
        <color rgb="FFFF0000"/>
      </font>
      <fill>
        <patternFill>
          <bgColor theme="5" tint="0.79998168889431442"/>
        </patternFill>
      </fill>
    </dxf>
  </dxfs>
  <tableStyles count="1" defaultTableStyle="TableStyleMedium2" defaultPivotStyle="PivotStyleLight16">
    <tableStyle name="Invisible" pivot="0" table="0" count="0" xr9:uid="{43C4DC8E-38F3-4BA8-81B7-1448B926F1F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15</xdr:col>
      <xdr:colOff>76200</xdr:colOff>
      <xdr:row>16</xdr:row>
      <xdr:rowOff>14818</xdr:rowOff>
    </xdr:from>
    <xdr:to>
      <xdr:col>17</xdr:col>
      <xdr:colOff>352425</xdr:colOff>
      <xdr:row>25</xdr:row>
      <xdr:rowOff>41276</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8236"/>
        <a:stretch/>
      </xdr:blipFill>
      <xdr:spPr>
        <a:xfrm>
          <a:off x="11642140800" y="3024718"/>
          <a:ext cx="1171575" cy="2741083"/>
        </a:xfrm>
        <a:prstGeom prst="ellipse">
          <a:avLst/>
        </a:prstGeom>
        <a:ln>
          <a:noFill/>
        </a:ln>
        <a:effectLst>
          <a:softEdge rad="112500"/>
        </a:effectLst>
      </xdr:spPr>
    </xdr:pic>
    <xdr:clientData/>
  </xdr:twoCellAnchor>
  <xdr:twoCellAnchor>
    <xdr:from>
      <xdr:col>12</xdr:col>
      <xdr:colOff>200026</xdr:colOff>
      <xdr:row>0</xdr:row>
      <xdr:rowOff>123825</xdr:rowOff>
    </xdr:from>
    <xdr:to>
      <xdr:col>14</xdr:col>
      <xdr:colOff>171451</xdr:colOff>
      <xdr:row>1</xdr:row>
      <xdr:rowOff>57150</xdr:rowOff>
    </xdr:to>
    <xdr:sp macro="" textlink="">
      <xdr:nvSpPr>
        <xdr:cNvPr id="6" name="Arrow: Right 5">
          <a:extLst>
            <a:ext uri="{FF2B5EF4-FFF2-40B4-BE49-F238E27FC236}">
              <a16:creationId xmlns:a16="http://schemas.microsoft.com/office/drawing/2014/main" id="{00000000-0008-0000-0000-000006000000}"/>
            </a:ext>
          </a:extLst>
        </xdr:cNvPr>
        <xdr:cNvSpPr/>
      </xdr:nvSpPr>
      <xdr:spPr>
        <a:xfrm flipH="1" flipV="1">
          <a:off x="11637273524" y="123825"/>
          <a:ext cx="828675" cy="1524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4</xdr:col>
      <xdr:colOff>209550</xdr:colOff>
      <xdr:row>0</xdr:row>
      <xdr:rowOff>123825</xdr:rowOff>
    </xdr:from>
    <xdr:to>
      <xdr:col>5</xdr:col>
      <xdr:colOff>361950</xdr:colOff>
      <xdr:row>1</xdr:row>
      <xdr:rowOff>57150</xdr:rowOff>
    </xdr:to>
    <xdr:sp macro="" textlink="">
      <xdr:nvSpPr>
        <xdr:cNvPr id="8" name="Arrow: Right 7">
          <a:extLst>
            <a:ext uri="{FF2B5EF4-FFF2-40B4-BE49-F238E27FC236}">
              <a16:creationId xmlns:a16="http://schemas.microsoft.com/office/drawing/2014/main" id="{00000000-0008-0000-0000-000008000000}"/>
            </a:ext>
          </a:extLst>
        </xdr:cNvPr>
        <xdr:cNvSpPr/>
      </xdr:nvSpPr>
      <xdr:spPr>
        <a:xfrm flipH="1" flipV="1">
          <a:off x="11641045425" y="123825"/>
          <a:ext cx="828675" cy="1524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editAs="oneCell">
    <xdr:from>
      <xdr:col>217</xdr:col>
      <xdr:colOff>640292</xdr:colOff>
      <xdr:row>13</xdr:row>
      <xdr:rowOff>296333</xdr:rowOff>
    </xdr:from>
    <xdr:to>
      <xdr:col>220</xdr:col>
      <xdr:colOff>44027</xdr:colOff>
      <xdr:row>18</xdr:row>
      <xdr:rowOff>263101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9855"/>
        <a:stretch/>
      </xdr:blipFill>
      <xdr:spPr bwMode="auto">
        <a:xfrm>
          <a:off x="11633367640" y="4095750"/>
          <a:ext cx="1562735" cy="1105535"/>
        </a:xfrm>
        <a:prstGeom prst="ellipse">
          <a:avLst/>
        </a:prstGeom>
        <a:ln>
          <a:noFill/>
        </a:ln>
        <a:effectLst>
          <a:softEdge rad="112500"/>
        </a:effectLst>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542924</xdr:colOff>
      <xdr:row>0</xdr:row>
      <xdr:rowOff>1</xdr:rowOff>
    </xdr:from>
    <xdr:to>
      <xdr:col>5</xdr:col>
      <xdr:colOff>295274</xdr:colOff>
      <xdr:row>1</xdr:row>
      <xdr:rowOff>257176</xdr:rowOff>
    </xdr:to>
    <xdr:pic>
      <xdr:nvPicPr>
        <xdr:cNvPr id="3" name="Picture 2">
          <a:extLst>
            <a:ext uri="{FF2B5EF4-FFF2-40B4-BE49-F238E27FC236}">
              <a16:creationId xmlns:a16="http://schemas.microsoft.com/office/drawing/2014/main" id="{BDF685A9-1ADB-4337-A273-49D489FF814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8236"/>
        <a:stretch/>
      </xdr:blipFill>
      <xdr:spPr>
        <a:xfrm>
          <a:off x="9986733901" y="1"/>
          <a:ext cx="1447800" cy="533400"/>
        </a:xfrm>
        <a:prstGeom prst="ellipse">
          <a:avLst/>
        </a:prstGeom>
        <a:ln>
          <a:noFill/>
        </a:ln>
        <a:effectLst>
          <a:softEdge rad="112500"/>
        </a:effec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542924</xdr:colOff>
      <xdr:row>0</xdr:row>
      <xdr:rowOff>1</xdr:rowOff>
    </xdr:from>
    <xdr:to>
      <xdr:col>5</xdr:col>
      <xdr:colOff>295274</xdr:colOff>
      <xdr:row>1</xdr:row>
      <xdr:rowOff>257176</xdr:rowOff>
    </xdr:to>
    <xdr:pic>
      <xdr:nvPicPr>
        <xdr:cNvPr id="3" name="Picture 2">
          <a:extLst>
            <a:ext uri="{FF2B5EF4-FFF2-40B4-BE49-F238E27FC236}">
              <a16:creationId xmlns:a16="http://schemas.microsoft.com/office/drawing/2014/main" id="{3FECBB3F-3D33-4710-A161-695219A77E9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8236"/>
        <a:stretch/>
      </xdr:blipFill>
      <xdr:spPr>
        <a:xfrm>
          <a:off x="9986733901" y="1"/>
          <a:ext cx="1447800" cy="533400"/>
        </a:xfrm>
        <a:prstGeom prst="ellipse">
          <a:avLst/>
        </a:prstGeom>
        <a:ln>
          <a:noFill/>
        </a:ln>
        <a:effectLst>
          <a:softEdge rad="112500"/>
        </a:effec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542924</xdr:colOff>
      <xdr:row>0</xdr:row>
      <xdr:rowOff>1</xdr:rowOff>
    </xdr:from>
    <xdr:to>
      <xdr:col>5</xdr:col>
      <xdr:colOff>295274</xdr:colOff>
      <xdr:row>1</xdr:row>
      <xdr:rowOff>257176</xdr:rowOff>
    </xdr:to>
    <xdr:pic>
      <xdr:nvPicPr>
        <xdr:cNvPr id="2" name="Picture 1">
          <a:extLst>
            <a:ext uri="{FF2B5EF4-FFF2-40B4-BE49-F238E27FC236}">
              <a16:creationId xmlns:a16="http://schemas.microsoft.com/office/drawing/2014/main" id="{BABA78AA-1602-49BD-AD27-2490D5F4EE4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8236"/>
        <a:stretch/>
      </xdr:blipFill>
      <xdr:spPr>
        <a:xfrm>
          <a:off x="9986733901" y="1"/>
          <a:ext cx="1447800" cy="533400"/>
        </a:xfrm>
        <a:prstGeom prst="ellipse">
          <a:avLst/>
        </a:prstGeom>
        <a:ln>
          <a:noFill/>
        </a:ln>
        <a:effectLst>
          <a:softEdge rad="112500"/>
        </a:effec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542924</xdr:colOff>
      <xdr:row>0</xdr:row>
      <xdr:rowOff>1</xdr:rowOff>
    </xdr:from>
    <xdr:to>
      <xdr:col>5</xdr:col>
      <xdr:colOff>295274</xdr:colOff>
      <xdr:row>1</xdr:row>
      <xdr:rowOff>257176</xdr:rowOff>
    </xdr:to>
    <xdr:pic>
      <xdr:nvPicPr>
        <xdr:cNvPr id="2" name="Picture 1">
          <a:extLst>
            <a:ext uri="{FF2B5EF4-FFF2-40B4-BE49-F238E27FC236}">
              <a16:creationId xmlns:a16="http://schemas.microsoft.com/office/drawing/2014/main" id="{0D122199-87CB-4F74-8D2E-398B08109933}"/>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8236"/>
        <a:stretch/>
      </xdr:blipFill>
      <xdr:spPr>
        <a:xfrm>
          <a:off x="9986733901" y="1"/>
          <a:ext cx="1447800" cy="533400"/>
        </a:xfrm>
        <a:prstGeom prst="ellipse">
          <a:avLst/>
        </a:prstGeom>
        <a:ln>
          <a:noFill/>
        </a:ln>
        <a:effectLst>
          <a:softEdge rad="112500"/>
        </a:effec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542924</xdr:colOff>
      <xdr:row>0</xdr:row>
      <xdr:rowOff>1</xdr:rowOff>
    </xdr:from>
    <xdr:to>
      <xdr:col>5</xdr:col>
      <xdr:colOff>295274</xdr:colOff>
      <xdr:row>1</xdr:row>
      <xdr:rowOff>257176</xdr:rowOff>
    </xdr:to>
    <xdr:pic>
      <xdr:nvPicPr>
        <xdr:cNvPr id="2" name="Picture 1">
          <a:extLst>
            <a:ext uri="{FF2B5EF4-FFF2-40B4-BE49-F238E27FC236}">
              <a16:creationId xmlns:a16="http://schemas.microsoft.com/office/drawing/2014/main" id="{AD296910-21F9-4183-A453-FE91697777A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8236"/>
        <a:stretch/>
      </xdr:blipFill>
      <xdr:spPr>
        <a:xfrm>
          <a:off x="9986733901" y="1"/>
          <a:ext cx="1447800" cy="533400"/>
        </a:xfrm>
        <a:prstGeom prst="ellipse">
          <a:avLst/>
        </a:prstGeom>
        <a:ln>
          <a:noFill/>
        </a:ln>
        <a:effectLst>
          <a:softEdge rad="112500"/>
        </a:effec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542924</xdr:colOff>
      <xdr:row>0</xdr:row>
      <xdr:rowOff>1</xdr:rowOff>
    </xdr:from>
    <xdr:to>
      <xdr:col>5</xdr:col>
      <xdr:colOff>295274</xdr:colOff>
      <xdr:row>1</xdr:row>
      <xdr:rowOff>257176</xdr:rowOff>
    </xdr:to>
    <xdr:pic>
      <xdr:nvPicPr>
        <xdr:cNvPr id="2" name="Picture 1">
          <a:extLst>
            <a:ext uri="{FF2B5EF4-FFF2-40B4-BE49-F238E27FC236}">
              <a16:creationId xmlns:a16="http://schemas.microsoft.com/office/drawing/2014/main" id="{66D32409-1085-4D02-8830-A886689E955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8236"/>
        <a:stretch/>
      </xdr:blipFill>
      <xdr:spPr>
        <a:xfrm>
          <a:off x="9986733901" y="1"/>
          <a:ext cx="1447800" cy="533400"/>
        </a:xfrm>
        <a:prstGeom prst="ellipse">
          <a:avLst/>
        </a:prstGeom>
        <a:ln>
          <a:noFill/>
        </a:ln>
        <a:effectLst>
          <a:softEdge rad="112500"/>
        </a:effec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542924</xdr:colOff>
      <xdr:row>0</xdr:row>
      <xdr:rowOff>1</xdr:rowOff>
    </xdr:from>
    <xdr:to>
      <xdr:col>5</xdr:col>
      <xdr:colOff>295274</xdr:colOff>
      <xdr:row>1</xdr:row>
      <xdr:rowOff>257176</xdr:rowOff>
    </xdr:to>
    <xdr:pic>
      <xdr:nvPicPr>
        <xdr:cNvPr id="2" name="Picture 1">
          <a:extLst>
            <a:ext uri="{FF2B5EF4-FFF2-40B4-BE49-F238E27FC236}">
              <a16:creationId xmlns:a16="http://schemas.microsoft.com/office/drawing/2014/main" id="{333BFBA3-C48F-485C-AC7C-AD4755BE641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8236"/>
        <a:stretch/>
      </xdr:blipFill>
      <xdr:spPr>
        <a:xfrm>
          <a:off x="9986733901" y="1"/>
          <a:ext cx="1447800" cy="533400"/>
        </a:xfrm>
        <a:prstGeom prst="ellipse">
          <a:avLst/>
        </a:prstGeom>
        <a:ln>
          <a:noFill/>
        </a:ln>
        <a:effectLst>
          <a:softEdge rad="112500"/>
        </a:effec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542924</xdr:colOff>
      <xdr:row>0</xdr:row>
      <xdr:rowOff>1</xdr:rowOff>
    </xdr:from>
    <xdr:to>
      <xdr:col>5</xdr:col>
      <xdr:colOff>295274</xdr:colOff>
      <xdr:row>1</xdr:row>
      <xdr:rowOff>257176</xdr:rowOff>
    </xdr:to>
    <xdr:pic>
      <xdr:nvPicPr>
        <xdr:cNvPr id="2" name="Picture 1">
          <a:extLst>
            <a:ext uri="{FF2B5EF4-FFF2-40B4-BE49-F238E27FC236}">
              <a16:creationId xmlns:a16="http://schemas.microsoft.com/office/drawing/2014/main" id="{4D4B6466-B0B9-4287-8B00-A782497B8E53}"/>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8236"/>
        <a:stretch/>
      </xdr:blipFill>
      <xdr:spPr>
        <a:xfrm>
          <a:off x="9986733901" y="1"/>
          <a:ext cx="1447800" cy="533400"/>
        </a:xfrm>
        <a:prstGeom prst="ellipse">
          <a:avLst/>
        </a:prstGeom>
        <a:ln>
          <a:noFill/>
        </a:ln>
        <a:effectLst>
          <a:softEdge rad="112500"/>
        </a:effec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542924</xdr:colOff>
      <xdr:row>0</xdr:row>
      <xdr:rowOff>1</xdr:rowOff>
    </xdr:from>
    <xdr:to>
      <xdr:col>5</xdr:col>
      <xdr:colOff>295274</xdr:colOff>
      <xdr:row>1</xdr:row>
      <xdr:rowOff>257176</xdr:rowOff>
    </xdr:to>
    <xdr:pic>
      <xdr:nvPicPr>
        <xdr:cNvPr id="2" name="Picture 1">
          <a:extLst>
            <a:ext uri="{FF2B5EF4-FFF2-40B4-BE49-F238E27FC236}">
              <a16:creationId xmlns:a16="http://schemas.microsoft.com/office/drawing/2014/main" id="{BDFBF68C-1CF3-4AA6-A36C-672850FFF34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8236"/>
        <a:stretch/>
      </xdr:blipFill>
      <xdr:spPr>
        <a:xfrm>
          <a:off x="9986733901" y="1"/>
          <a:ext cx="1447800" cy="533400"/>
        </a:xfrm>
        <a:prstGeom prst="ellipse">
          <a:avLst/>
        </a:prstGeom>
        <a:ln>
          <a:noFill/>
        </a:ln>
        <a:effectLst>
          <a:softEdge rad="112500"/>
        </a:effec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542924</xdr:colOff>
      <xdr:row>0</xdr:row>
      <xdr:rowOff>1</xdr:rowOff>
    </xdr:from>
    <xdr:to>
      <xdr:col>5</xdr:col>
      <xdr:colOff>295274</xdr:colOff>
      <xdr:row>1</xdr:row>
      <xdr:rowOff>257176</xdr:rowOff>
    </xdr:to>
    <xdr:pic>
      <xdr:nvPicPr>
        <xdr:cNvPr id="2" name="Picture 1">
          <a:extLst>
            <a:ext uri="{FF2B5EF4-FFF2-40B4-BE49-F238E27FC236}">
              <a16:creationId xmlns:a16="http://schemas.microsoft.com/office/drawing/2014/main" id="{37707529-BB5F-44C6-B3CD-94CDDD3DF25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8236"/>
        <a:stretch/>
      </xdr:blipFill>
      <xdr:spPr>
        <a:xfrm>
          <a:off x="9986733901" y="1"/>
          <a:ext cx="1447800" cy="533400"/>
        </a:xfrm>
        <a:prstGeom prst="ellipse">
          <a:avLst/>
        </a:prstGeom>
        <a:ln>
          <a:noFill/>
        </a:ln>
        <a:effectLst>
          <a:softEdge rad="112500"/>
        </a:effec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542924</xdr:colOff>
      <xdr:row>0</xdr:row>
      <xdr:rowOff>1</xdr:rowOff>
    </xdr:from>
    <xdr:to>
      <xdr:col>5</xdr:col>
      <xdr:colOff>295274</xdr:colOff>
      <xdr:row>1</xdr:row>
      <xdr:rowOff>257176</xdr:rowOff>
    </xdr:to>
    <xdr:pic>
      <xdr:nvPicPr>
        <xdr:cNvPr id="2" name="Picture 1">
          <a:extLst>
            <a:ext uri="{FF2B5EF4-FFF2-40B4-BE49-F238E27FC236}">
              <a16:creationId xmlns:a16="http://schemas.microsoft.com/office/drawing/2014/main" id="{70E0CA9C-C1A8-4712-8D5D-A21B70A3E37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8236"/>
        <a:stretch/>
      </xdr:blipFill>
      <xdr:spPr>
        <a:xfrm>
          <a:off x="9986733901" y="1"/>
          <a:ext cx="1447800" cy="533400"/>
        </a:xfrm>
        <a:prstGeom prst="ellipse">
          <a:avLst/>
        </a:prstGeom>
        <a:ln>
          <a:noFill/>
        </a:ln>
        <a:effectLst>
          <a:softEdge rad="112500"/>
        </a:effec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600075</xdr:colOff>
      <xdr:row>3</xdr:row>
      <xdr:rowOff>0</xdr:rowOff>
    </xdr:from>
    <xdr:to>
      <xdr:col>10</xdr:col>
      <xdr:colOff>600075</xdr:colOff>
      <xdr:row>34</xdr:row>
      <xdr:rowOff>38100</xdr:rowOff>
    </xdr:to>
    <xdr:pic>
      <xdr:nvPicPr>
        <xdr:cNvPr id="2" name="Picture 1">
          <a:extLst>
            <a:ext uri="{FF2B5EF4-FFF2-40B4-BE49-F238E27FC236}">
              <a16:creationId xmlns:a16="http://schemas.microsoft.com/office/drawing/2014/main" id="{4E0DF0A1-56BE-4414-9AD2-A72D67E4880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20611"/>
        <a:stretch/>
      </xdr:blipFill>
      <xdr:spPr>
        <a:xfrm>
          <a:off x="9980990325" y="828675"/>
          <a:ext cx="5514975" cy="62388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9A2FA-BCAC-4F0B-9890-E5B97DAE93B2}">
  <dimension ref="A1:GG14"/>
  <sheetViews>
    <sheetView rightToLeft="1" zoomScale="20" zoomScaleNormal="20" workbookViewId="0">
      <pane xSplit="3" ySplit="3" topLeftCell="EX4" activePane="bottomRight" state="frozen"/>
      <selection pane="topRight" activeCell="D1" sqref="D1"/>
      <selection pane="bottomLeft" activeCell="A4" sqref="A4"/>
      <selection pane="bottomRight" activeCell="EY4" sqref="EX4:EY4"/>
    </sheetView>
  </sheetViews>
  <sheetFormatPr defaultColWidth="21.125" defaultRowHeight="14.25" x14ac:dyDescent="0.2"/>
  <cols>
    <col min="1" max="3" width="15.75" customWidth="1"/>
  </cols>
  <sheetData>
    <row r="1" spans="1:189" s="142" customFormat="1" ht="30" customHeight="1" x14ac:dyDescent="0.35">
      <c r="A1" s="159" t="s">
        <v>84</v>
      </c>
      <c r="B1" s="160"/>
      <c r="C1" s="161" t="s">
        <v>42</v>
      </c>
      <c r="D1" s="153">
        <v>1</v>
      </c>
      <c r="E1" s="154"/>
      <c r="F1" s="154"/>
      <c r="G1" s="154"/>
      <c r="H1" s="154"/>
      <c r="I1" s="155"/>
      <c r="J1" s="153">
        <v>1</v>
      </c>
      <c r="K1" s="154"/>
      <c r="L1" s="154"/>
      <c r="M1" s="154"/>
      <c r="N1" s="154"/>
      <c r="O1" s="155"/>
      <c r="P1" s="153">
        <v>1</v>
      </c>
      <c r="Q1" s="154"/>
      <c r="R1" s="154"/>
      <c r="S1" s="154"/>
      <c r="T1" s="154"/>
      <c r="U1" s="155"/>
      <c r="V1" s="153">
        <v>1</v>
      </c>
      <c r="W1" s="154"/>
      <c r="X1" s="154"/>
      <c r="Y1" s="154"/>
      <c r="Z1" s="154"/>
      <c r="AA1" s="155"/>
      <c r="AB1" s="153">
        <v>1</v>
      </c>
      <c r="AC1" s="154"/>
      <c r="AD1" s="154"/>
      <c r="AE1" s="154"/>
      <c r="AF1" s="154"/>
      <c r="AG1" s="155"/>
      <c r="AH1" s="153">
        <v>1</v>
      </c>
      <c r="AI1" s="154"/>
      <c r="AJ1" s="154"/>
      <c r="AK1" s="154"/>
      <c r="AL1" s="154"/>
      <c r="AM1" s="155"/>
      <c r="AN1" s="153">
        <v>1</v>
      </c>
      <c r="AO1" s="154"/>
      <c r="AP1" s="154"/>
      <c r="AQ1" s="154"/>
      <c r="AR1" s="154"/>
      <c r="AS1" s="155"/>
      <c r="AT1" s="153">
        <v>1</v>
      </c>
      <c r="AU1" s="154"/>
      <c r="AV1" s="154"/>
      <c r="AW1" s="154"/>
      <c r="AX1" s="154"/>
      <c r="AY1" s="155"/>
      <c r="AZ1" s="153">
        <v>1</v>
      </c>
      <c r="BA1" s="154"/>
      <c r="BB1" s="154"/>
      <c r="BC1" s="154"/>
      <c r="BD1" s="154"/>
      <c r="BE1" s="155"/>
      <c r="BF1" s="153">
        <v>1</v>
      </c>
      <c r="BG1" s="154"/>
      <c r="BH1" s="154"/>
      <c r="BI1" s="154"/>
      <c r="BJ1" s="154"/>
      <c r="BK1" s="155"/>
      <c r="BL1" s="153">
        <v>1</v>
      </c>
      <c r="BM1" s="154"/>
      <c r="BN1" s="154"/>
      <c r="BO1" s="154"/>
      <c r="BP1" s="154"/>
      <c r="BQ1" s="155"/>
      <c r="BR1" s="153">
        <v>1</v>
      </c>
      <c r="BS1" s="154"/>
      <c r="BT1" s="154"/>
      <c r="BU1" s="154"/>
      <c r="BV1" s="154"/>
      <c r="BW1" s="155"/>
      <c r="BX1" s="153">
        <v>1</v>
      </c>
      <c r="BY1" s="154"/>
      <c r="BZ1" s="154"/>
      <c r="CA1" s="154"/>
      <c r="CB1" s="154"/>
      <c r="CC1" s="155"/>
      <c r="CD1" s="153">
        <v>1</v>
      </c>
      <c r="CE1" s="154"/>
      <c r="CF1" s="154"/>
      <c r="CG1" s="154"/>
      <c r="CH1" s="154"/>
      <c r="CI1" s="155"/>
      <c r="CJ1" s="153">
        <v>1</v>
      </c>
      <c r="CK1" s="154"/>
      <c r="CL1" s="154"/>
      <c r="CM1" s="154"/>
      <c r="CN1" s="154"/>
      <c r="CO1" s="155"/>
      <c r="CP1" s="153">
        <v>1</v>
      </c>
      <c r="CQ1" s="154"/>
      <c r="CR1" s="154"/>
      <c r="CS1" s="154"/>
      <c r="CT1" s="154"/>
      <c r="CU1" s="155"/>
      <c r="CV1" s="153">
        <v>1</v>
      </c>
      <c r="CW1" s="154"/>
      <c r="CX1" s="154"/>
      <c r="CY1" s="154"/>
      <c r="CZ1" s="154"/>
      <c r="DA1" s="155"/>
      <c r="DB1" s="153">
        <v>1</v>
      </c>
      <c r="DC1" s="154"/>
      <c r="DD1" s="154"/>
      <c r="DE1" s="154"/>
      <c r="DF1" s="154"/>
      <c r="DG1" s="155"/>
      <c r="DH1" s="153">
        <v>1</v>
      </c>
      <c r="DI1" s="154"/>
      <c r="DJ1" s="154"/>
      <c r="DK1" s="154"/>
      <c r="DL1" s="154"/>
      <c r="DM1" s="155"/>
      <c r="DN1" s="153">
        <v>1</v>
      </c>
      <c r="DO1" s="154"/>
      <c r="DP1" s="154"/>
      <c r="DQ1" s="154"/>
      <c r="DR1" s="154"/>
      <c r="DS1" s="155"/>
      <c r="DT1" s="153">
        <v>1</v>
      </c>
      <c r="DU1" s="154"/>
      <c r="DV1" s="154"/>
      <c r="DW1" s="154"/>
      <c r="DX1" s="154"/>
      <c r="DY1" s="155"/>
      <c r="DZ1" s="153">
        <v>1</v>
      </c>
      <c r="EA1" s="154"/>
      <c r="EB1" s="154"/>
      <c r="EC1" s="154"/>
      <c r="ED1" s="154"/>
      <c r="EE1" s="155"/>
      <c r="EF1" s="153">
        <v>1</v>
      </c>
      <c r="EG1" s="154"/>
      <c r="EH1" s="154"/>
      <c r="EI1" s="154"/>
      <c r="EJ1" s="154"/>
      <c r="EK1" s="155"/>
      <c r="EL1" s="153">
        <v>1</v>
      </c>
      <c r="EM1" s="154"/>
      <c r="EN1" s="154"/>
      <c r="EO1" s="154"/>
      <c r="EP1" s="154"/>
      <c r="EQ1" s="155"/>
      <c r="ER1" s="153">
        <v>1</v>
      </c>
      <c r="ES1" s="154"/>
      <c r="ET1" s="154"/>
      <c r="EU1" s="154"/>
      <c r="EV1" s="154"/>
      <c r="EW1" s="155"/>
      <c r="EX1" s="153">
        <v>1</v>
      </c>
      <c r="EY1" s="154"/>
      <c r="EZ1" s="154"/>
      <c r="FA1" s="154"/>
      <c r="FB1" s="154"/>
      <c r="FC1" s="155"/>
      <c r="FD1" s="153">
        <v>1</v>
      </c>
      <c r="FE1" s="154"/>
      <c r="FF1" s="154"/>
      <c r="FG1" s="154"/>
      <c r="FH1" s="154"/>
      <c r="FI1" s="155"/>
      <c r="FJ1" s="153">
        <v>1</v>
      </c>
      <c r="FK1" s="154"/>
      <c r="FL1" s="154"/>
      <c r="FM1" s="154"/>
      <c r="FN1" s="154"/>
      <c r="FO1" s="155"/>
      <c r="FP1" s="153">
        <v>1</v>
      </c>
      <c r="FQ1" s="154"/>
      <c r="FR1" s="154"/>
      <c r="FS1" s="154"/>
      <c r="FT1" s="154"/>
      <c r="FU1" s="155"/>
      <c r="FV1" s="153">
        <v>1</v>
      </c>
      <c r="FW1" s="154"/>
      <c r="FX1" s="154"/>
      <c r="FY1" s="154"/>
      <c r="FZ1" s="154"/>
      <c r="GA1" s="155"/>
      <c r="GB1" s="153">
        <v>1</v>
      </c>
      <c r="GC1" s="154"/>
      <c r="GD1" s="154"/>
      <c r="GE1" s="154"/>
      <c r="GF1" s="154"/>
      <c r="GG1" s="155"/>
    </row>
    <row r="2" spans="1:189" s="142" customFormat="1" ht="30" customHeight="1" x14ac:dyDescent="0.35">
      <c r="A2" s="159"/>
      <c r="B2" s="160"/>
      <c r="C2" s="161"/>
      <c r="D2" s="156" t="s">
        <v>8</v>
      </c>
      <c r="E2" s="157"/>
      <c r="F2" s="157"/>
      <c r="G2" s="157"/>
      <c r="H2" s="157"/>
      <c r="I2" s="158"/>
      <c r="J2" s="156" t="s">
        <v>8</v>
      </c>
      <c r="K2" s="157"/>
      <c r="L2" s="157"/>
      <c r="M2" s="157"/>
      <c r="N2" s="157"/>
      <c r="O2" s="158"/>
      <c r="P2" s="156" t="s">
        <v>8</v>
      </c>
      <c r="Q2" s="157"/>
      <c r="R2" s="157"/>
      <c r="S2" s="157"/>
      <c r="T2" s="157"/>
      <c r="U2" s="158"/>
      <c r="V2" s="156" t="s">
        <v>8</v>
      </c>
      <c r="W2" s="157"/>
      <c r="X2" s="157"/>
      <c r="Y2" s="157"/>
      <c r="Z2" s="157"/>
      <c r="AA2" s="158"/>
      <c r="AB2" s="156" t="s">
        <v>8</v>
      </c>
      <c r="AC2" s="157"/>
      <c r="AD2" s="157"/>
      <c r="AE2" s="157"/>
      <c r="AF2" s="157"/>
      <c r="AG2" s="158"/>
      <c r="AH2" s="156" t="s">
        <v>8</v>
      </c>
      <c r="AI2" s="157"/>
      <c r="AJ2" s="157"/>
      <c r="AK2" s="157"/>
      <c r="AL2" s="157"/>
      <c r="AM2" s="158"/>
      <c r="AN2" s="156" t="s">
        <v>8</v>
      </c>
      <c r="AO2" s="157"/>
      <c r="AP2" s="157"/>
      <c r="AQ2" s="157"/>
      <c r="AR2" s="157"/>
      <c r="AS2" s="158"/>
      <c r="AT2" s="156" t="s">
        <v>8</v>
      </c>
      <c r="AU2" s="157"/>
      <c r="AV2" s="157"/>
      <c r="AW2" s="157"/>
      <c r="AX2" s="157"/>
      <c r="AY2" s="158"/>
      <c r="AZ2" s="156" t="s">
        <v>8</v>
      </c>
      <c r="BA2" s="157"/>
      <c r="BB2" s="157"/>
      <c r="BC2" s="157"/>
      <c r="BD2" s="157"/>
      <c r="BE2" s="158"/>
      <c r="BF2" s="156" t="s">
        <v>8</v>
      </c>
      <c r="BG2" s="157"/>
      <c r="BH2" s="157"/>
      <c r="BI2" s="157"/>
      <c r="BJ2" s="157"/>
      <c r="BK2" s="158"/>
      <c r="BL2" s="156" t="s">
        <v>8</v>
      </c>
      <c r="BM2" s="157"/>
      <c r="BN2" s="157"/>
      <c r="BO2" s="157"/>
      <c r="BP2" s="157"/>
      <c r="BQ2" s="158"/>
      <c r="BR2" s="156" t="s">
        <v>8</v>
      </c>
      <c r="BS2" s="157"/>
      <c r="BT2" s="157"/>
      <c r="BU2" s="157"/>
      <c r="BV2" s="157"/>
      <c r="BW2" s="158"/>
      <c r="BX2" s="156" t="s">
        <v>8</v>
      </c>
      <c r="BY2" s="157"/>
      <c r="BZ2" s="157"/>
      <c r="CA2" s="157"/>
      <c r="CB2" s="157"/>
      <c r="CC2" s="158"/>
      <c r="CD2" s="156" t="s">
        <v>8</v>
      </c>
      <c r="CE2" s="157"/>
      <c r="CF2" s="157"/>
      <c r="CG2" s="157"/>
      <c r="CH2" s="157"/>
      <c r="CI2" s="158"/>
      <c r="CJ2" s="156" t="s">
        <v>8</v>
      </c>
      <c r="CK2" s="157"/>
      <c r="CL2" s="157"/>
      <c r="CM2" s="157"/>
      <c r="CN2" s="157"/>
      <c r="CO2" s="158"/>
      <c r="CP2" s="156" t="s">
        <v>8</v>
      </c>
      <c r="CQ2" s="157"/>
      <c r="CR2" s="157"/>
      <c r="CS2" s="157"/>
      <c r="CT2" s="157"/>
      <c r="CU2" s="158"/>
      <c r="CV2" s="156" t="s">
        <v>8</v>
      </c>
      <c r="CW2" s="157"/>
      <c r="CX2" s="157"/>
      <c r="CY2" s="157"/>
      <c r="CZ2" s="157"/>
      <c r="DA2" s="158"/>
      <c r="DB2" s="156" t="s">
        <v>8</v>
      </c>
      <c r="DC2" s="157"/>
      <c r="DD2" s="157"/>
      <c r="DE2" s="157"/>
      <c r="DF2" s="157"/>
      <c r="DG2" s="158"/>
      <c r="DH2" s="156" t="s">
        <v>8</v>
      </c>
      <c r="DI2" s="157"/>
      <c r="DJ2" s="157"/>
      <c r="DK2" s="157"/>
      <c r="DL2" s="157"/>
      <c r="DM2" s="158"/>
      <c r="DN2" s="156" t="s">
        <v>8</v>
      </c>
      <c r="DO2" s="157"/>
      <c r="DP2" s="157"/>
      <c r="DQ2" s="157"/>
      <c r="DR2" s="157"/>
      <c r="DS2" s="158"/>
      <c r="DT2" s="156" t="s">
        <v>8</v>
      </c>
      <c r="DU2" s="157"/>
      <c r="DV2" s="157"/>
      <c r="DW2" s="157"/>
      <c r="DX2" s="157"/>
      <c r="DY2" s="158"/>
      <c r="DZ2" s="156" t="s">
        <v>8</v>
      </c>
      <c r="EA2" s="157"/>
      <c r="EB2" s="157"/>
      <c r="EC2" s="157"/>
      <c r="ED2" s="157"/>
      <c r="EE2" s="158"/>
      <c r="EF2" s="156" t="s">
        <v>8</v>
      </c>
      <c r="EG2" s="157"/>
      <c r="EH2" s="157"/>
      <c r="EI2" s="157"/>
      <c r="EJ2" s="157"/>
      <c r="EK2" s="158"/>
      <c r="EL2" s="156" t="s">
        <v>8</v>
      </c>
      <c r="EM2" s="157"/>
      <c r="EN2" s="157"/>
      <c r="EO2" s="157"/>
      <c r="EP2" s="157"/>
      <c r="EQ2" s="158"/>
      <c r="ER2" s="156" t="s">
        <v>8</v>
      </c>
      <c r="ES2" s="157"/>
      <c r="ET2" s="157"/>
      <c r="EU2" s="157"/>
      <c r="EV2" s="157"/>
      <c r="EW2" s="158"/>
      <c r="EX2" s="156" t="s">
        <v>8</v>
      </c>
      <c r="EY2" s="157"/>
      <c r="EZ2" s="157"/>
      <c r="FA2" s="157"/>
      <c r="FB2" s="157"/>
      <c r="FC2" s="158"/>
      <c r="FD2" s="156" t="s">
        <v>8</v>
      </c>
      <c r="FE2" s="157"/>
      <c r="FF2" s="157"/>
      <c r="FG2" s="157"/>
      <c r="FH2" s="157"/>
      <c r="FI2" s="158"/>
      <c r="FJ2" s="156" t="s">
        <v>8</v>
      </c>
      <c r="FK2" s="157"/>
      <c r="FL2" s="157"/>
      <c r="FM2" s="157"/>
      <c r="FN2" s="157"/>
      <c r="FO2" s="158"/>
      <c r="FP2" s="156" t="s">
        <v>8</v>
      </c>
      <c r="FQ2" s="157"/>
      <c r="FR2" s="157"/>
      <c r="FS2" s="157"/>
      <c r="FT2" s="157"/>
      <c r="FU2" s="158"/>
      <c r="FV2" s="156" t="s">
        <v>8</v>
      </c>
      <c r="FW2" s="157"/>
      <c r="FX2" s="157"/>
      <c r="FY2" s="157"/>
      <c r="FZ2" s="157"/>
      <c r="GA2" s="158"/>
      <c r="GB2" s="156" t="s">
        <v>8</v>
      </c>
      <c r="GC2" s="157"/>
      <c r="GD2" s="157"/>
      <c r="GE2" s="157"/>
      <c r="GF2" s="157"/>
      <c r="GG2" s="158"/>
    </row>
    <row r="3" spans="1:189" s="126" customFormat="1" ht="35.1" customHeight="1" x14ac:dyDescent="0.35">
      <c r="A3" s="123" t="s">
        <v>20</v>
      </c>
      <c r="B3" s="124" t="s">
        <v>21</v>
      </c>
      <c r="C3" s="125" t="s">
        <v>43</v>
      </c>
      <c r="D3" s="127" t="s">
        <v>23</v>
      </c>
      <c r="E3" s="128" t="s">
        <v>24</v>
      </c>
      <c r="F3" s="129" t="s">
        <v>46</v>
      </c>
      <c r="G3" s="130" t="s">
        <v>47</v>
      </c>
      <c r="H3" s="128" t="s">
        <v>17</v>
      </c>
      <c r="I3" s="131" t="s">
        <v>25</v>
      </c>
      <c r="J3" s="127" t="s">
        <v>23</v>
      </c>
      <c r="K3" s="128" t="s">
        <v>24</v>
      </c>
      <c r="L3" s="129" t="s">
        <v>46</v>
      </c>
      <c r="M3" s="130" t="s">
        <v>47</v>
      </c>
      <c r="N3" s="128" t="s">
        <v>17</v>
      </c>
      <c r="O3" s="131" t="s">
        <v>25</v>
      </c>
      <c r="P3" s="127" t="s">
        <v>23</v>
      </c>
      <c r="Q3" s="128" t="s">
        <v>24</v>
      </c>
      <c r="R3" s="129" t="s">
        <v>46</v>
      </c>
      <c r="S3" s="130" t="s">
        <v>47</v>
      </c>
      <c r="T3" s="128" t="s">
        <v>17</v>
      </c>
      <c r="U3" s="131" t="s">
        <v>25</v>
      </c>
      <c r="V3" s="127" t="s">
        <v>23</v>
      </c>
      <c r="W3" s="128" t="s">
        <v>24</v>
      </c>
      <c r="X3" s="129" t="s">
        <v>46</v>
      </c>
      <c r="Y3" s="130" t="s">
        <v>47</v>
      </c>
      <c r="Z3" s="128" t="s">
        <v>17</v>
      </c>
      <c r="AA3" s="131" t="s">
        <v>25</v>
      </c>
      <c r="AB3" s="127" t="s">
        <v>23</v>
      </c>
      <c r="AC3" s="128" t="s">
        <v>24</v>
      </c>
      <c r="AD3" s="129" t="s">
        <v>46</v>
      </c>
      <c r="AE3" s="130" t="s">
        <v>47</v>
      </c>
      <c r="AF3" s="128" t="s">
        <v>17</v>
      </c>
      <c r="AG3" s="131" t="s">
        <v>25</v>
      </c>
      <c r="AH3" s="127" t="s">
        <v>23</v>
      </c>
      <c r="AI3" s="128" t="s">
        <v>24</v>
      </c>
      <c r="AJ3" s="129" t="s">
        <v>46</v>
      </c>
      <c r="AK3" s="130" t="s">
        <v>47</v>
      </c>
      <c r="AL3" s="128" t="s">
        <v>17</v>
      </c>
      <c r="AM3" s="131" t="s">
        <v>25</v>
      </c>
      <c r="AN3" s="127" t="s">
        <v>23</v>
      </c>
      <c r="AO3" s="128" t="s">
        <v>24</v>
      </c>
      <c r="AP3" s="129" t="s">
        <v>46</v>
      </c>
      <c r="AQ3" s="130" t="s">
        <v>47</v>
      </c>
      <c r="AR3" s="128" t="s">
        <v>17</v>
      </c>
      <c r="AS3" s="131" t="s">
        <v>25</v>
      </c>
      <c r="AT3" s="127" t="s">
        <v>23</v>
      </c>
      <c r="AU3" s="128" t="s">
        <v>24</v>
      </c>
      <c r="AV3" s="129" t="s">
        <v>46</v>
      </c>
      <c r="AW3" s="130" t="s">
        <v>47</v>
      </c>
      <c r="AX3" s="128" t="s">
        <v>17</v>
      </c>
      <c r="AY3" s="131" t="s">
        <v>25</v>
      </c>
      <c r="AZ3" s="127" t="s">
        <v>23</v>
      </c>
      <c r="BA3" s="128" t="s">
        <v>24</v>
      </c>
      <c r="BB3" s="129" t="s">
        <v>46</v>
      </c>
      <c r="BC3" s="130" t="s">
        <v>47</v>
      </c>
      <c r="BD3" s="128" t="s">
        <v>17</v>
      </c>
      <c r="BE3" s="131" t="s">
        <v>25</v>
      </c>
      <c r="BF3" s="127" t="s">
        <v>23</v>
      </c>
      <c r="BG3" s="128" t="s">
        <v>24</v>
      </c>
      <c r="BH3" s="129" t="s">
        <v>46</v>
      </c>
      <c r="BI3" s="130" t="s">
        <v>47</v>
      </c>
      <c r="BJ3" s="128" t="s">
        <v>17</v>
      </c>
      <c r="BK3" s="131" t="s">
        <v>25</v>
      </c>
      <c r="BL3" s="127" t="s">
        <v>23</v>
      </c>
      <c r="BM3" s="128" t="s">
        <v>24</v>
      </c>
      <c r="BN3" s="129" t="s">
        <v>46</v>
      </c>
      <c r="BO3" s="130" t="s">
        <v>47</v>
      </c>
      <c r="BP3" s="128" t="s">
        <v>17</v>
      </c>
      <c r="BQ3" s="131" t="s">
        <v>25</v>
      </c>
      <c r="BR3" s="127" t="s">
        <v>23</v>
      </c>
      <c r="BS3" s="128" t="s">
        <v>24</v>
      </c>
      <c r="BT3" s="129" t="s">
        <v>46</v>
      </c>
      <c r="BU3" s="130" t="s">
        <v>47</v>
      </c>
      <c r="BV3" s="128" t="s">
        <v>17</v>
      </c>
      <c r="BW3" s="131" t="s">
        <v>25</v>
      </c>
      <c r="BX3" s="127" t="s">
        <v>23</v>
      </c>
      <c r="BY3" s="128" t="s">
        <v>24</v>
      </c>
      <c r="BZ3" s="129" t="s">
        <v>46</v>
      </c>
      <c r="CA3" s="130" t="s">
        <v>47</v>
      </c>
      <c r="CB3" s="128" t="s">
        <v>17</v>
      </c>
      <c r="CC3" s="131" t="s">
        <v>25</v>
      </c>
      <c r="CD3" s="127" t="s">
        <v>23</v>
      </c>
      <c r="CE3" s="128" t="s">
        <v>24</v>
      </c>
      <c r="CF3" s="129" t="s">
        <v>46</v>
      </c>
      <c r="CG3" s="130" t="s">
        <v>47</v>
      </c>
      <c r="CH3" s="128" t="s">
        <v>17</v>
      </c>
      <c r="CI3" s="131" t="s">
        <v>25</v>
      </c>
      <c r="CJ3" s="127" t="s">
        <v>23</v>
      </c>
      <c r="CK3" s="128" t="s">
        <v>24</v>
      </c>
      <c r="CL3" s="129" t="s">
        <v>46</v>
      </c>
      <c r="CM3" s="130" t="s">
        <v>47</v>
      </c>
      <c r="CN3" s="128" t="s">
        <v>17</v>
      </c>
      <c r="CO3" s="131" t="s">
        <v>25</v>
      </c>
      <c r="CP3" s="127" t="s">
        <v>23</v>
      </c>
      <c r="CQ3" s="128" t="s">
        <v>24</v>
      </c>
      <c r="CR3" s="129" t="s">
        <v>46</v>
      </c>
      <c r="CS3" s="130" t="s">
        <v>47</v>
      </c>
      <c r="CT3" s="128" t="s">
        <v>17</v>
      </c>
      <c r="CU3" s="131" t="s">
        <v>25</v>
      </c>
      <c r="CV3" s="127" t="s">
        <v>23</v>
      </c>
      <c r="CW3" s="128" t="s">
        <v>24</v>
      </c>
      <c r="CX3" s="129" t="s">
        <v>46</v>
      </c>
      <c r="CY3" s="130" t="s">
        <v>47</v>
      </c>
      <c r="CZ3" s="128" t="s">
        <v>17</v>
      </c>
      <c r="DA3" s="131" t="s">
        <v>25</v>
      </c>
      <c r="DB3" s="127" t="s">
        <v>23</v>
      </c>
      <c r="DC3" s="128" t="s">
        <v>24</v>
      </c>
      <c r="DD3" s="129" t="s">
        <v>46</v>
      </c>
      <c r="DE3" s="130" t="s">
        <v>47</v>
      </c>
      <c r="DF3" s="128" t="s">
        <v>17</v>
      </c>
      <c r="DG3" s="131" t="s">
        <v>25</v>
      </c>
      <c r="DH3" s="127" t="s">
        <v>23</v>
      </c>
      <c r="DI3" s="128" t="s">
        <v>24</v>
      </c>
      <c r="DJ3" s="129" t="s">
        <v>46</v>
      </c>
      <c r="DK3" s="130" t="s">
        <v>47</v>
      </c>
      <c r="DL3" s="128" t="s">
        <v>17</v>
      </c>
      <c r="DM3" s="131" t="s">
        <v>25</v>
      </c>
      <c r="DN3" s="127" t="s">
        <v>23</v>
      </c>
      <c r="DO3" s="128" t="s">
        <v>24</v>
      </c>
      <c r="DP3" s="129" t="s">
        <v>46</v>
      </c>
      <c r="DQ3" s="130" t="s">
        <v>47</v>
      </c>
      <c r="DR3" s="128" t="s">
        <v>17</v>
      </c>
      <c r="DS3" s="131" t="s">
        <v>25</v>
      </c>
      <c r="DT3" s="127" t="s">
        <v>23</v>
      </c>
      <c r="DU3" s="128" t="s">
        <v>24</v>
      </c>
      <c r="DV3" s="129" t="s">
        <v>46</v>
      </c>
      <c r="DW3" s="130" t="s">
        <v>47</v>
      </c>
      <c r="DX3" s="128" t="s">
        <v>17</v>
      </c>
      <c r="DY3" s="131" t="s">
        <v>25</v>
      </c>
      <c r="DZ3" s="127" t="s">
        <v>23</v>
      </c>
      <c r="EA3" s="128" t="s">
        <v>24</v>
      </c>
      <c r="EB3" s="129" t="s">
        <v>46</v>
      </c>
      <c r="EC3" s="130" t="s">
        <v>47</v>
      </c>
      <c r="ED3" s="128" t="s">
        <v>17</v>
      </c>
      <c r="EE3" s="131" t="s">
        <v>25</v>
      </c>
      <c r="EF3" s="127" t="s">
        <v>23</v>
      </c>
      <c r="EG3" s="128" t="s">
        <v>24</v>
      </c>
      <c r="EH3" s="129" t="s">
        <v>46</v>
      </c>
      <c r="EI3" s="130" t="s">
        <v>47</v>
      </c>
      <c r="EJ3" s="128" t="s">
        <v>17</v>
      </c>
      <c r="EK3" s="131" t="s">
        <v>25</v>
      </c>
      <c r="EL3" s="127" t="s">
        <v>23</v>
      </c>
      <c r="EM3" s="128" t="s">
        <v>24</v>
      </c>
      <c r="EN3" s="129" t="s">
        <v>46</v>
      </c>
      <c r="EO3" s="130" t="s">
        <v>47</v>
      </c>
      <c r="EP3" s="128" t="s">
        <v>17</v>
      </c>
      <c r="EQ3" s="131" t="s">
        <v>25</v>
      </c>
      <c r="ER3" s="127" t="s">
        <v>23</v>
      </c>
      <c r="ES3" s="128" t="s">
        <v>24</v>
      </c>
      <c r="ET3" s="129" t="s">
        <v>46</v>
      </c>
      <c r="EU3" s="130" t="s">
        <v>47</v>
      </c>
      <c r="EV3" s="128" t="s">
        <v>17</v>
      </c>
      <c r="EW3" s="131" t="s">
        <v>25</v>
      </c>
      <c r="EX3" s="127" t="s">
        <v>23</v>
      </c>
      <c r="EY3" s="128" t="s">
        <v>24</v>
      </c>
      <c r="EZ3" s="129" t="s">
        <v>46</v>
      </c>
      <c r="FA3" s="130" t="s">
        <v>47</v>
      </c>
      <c r="FB3" s="128" t="s">
        <v>17</v>
      </c>
      <c r="FC3" s="131" t="s">
        <v>25</v>
      </c>
      <c r="FD3" s="127" t="s">
        <v>23</v>
      </c>
      <c r="FE3" s="128" t="s">
        <v>24</v>
      </c>
      <c r="FF3" s="129" t="s">
        <v>46</v>
      </c>
      <c r="FG3" s="130" t="s">
        <v>47</v>
      </c>
      <c r="FH3" s="128" t="s">
        <v>17</v>
      </c>
      <c r="FI3" s="131" t="s">
        <v>25</v>
      </c>
      <c r="FJ3" s="127" t="s">
        <v>23</v>
      </c>
      <c r="FK3" s="128" t="s">
        <v>24</v>
      </c>
      <c r="FL3" s="129" t="s">
        <v>46</v>
      </c>
      <c r="FM3" s="130" t="s">
        <v>47</v>
      </c>
      <c r="FN3" s="128" t="s">
        <v>17</v>
      </c>
      <c r="FO3" s="131" t="s">
        <v>25</v>
      </c>
      <c r="FP3" s="127" t="s">
        <v>23</v>
      </c>
      <c r="FQ3" s="128" t="s">
        <v>24</v>
      </c>
      <c r="FR3" s="129" t="s">
        <v>46</v>
      </c>
      <c r="FS3" s="130" t="s">
        <v>47</v>
      </c>
      <c r="FT3" s="128" t="s">
        <v>17</v>
      </c>
      <c r="FU3" s="131" t="s">
        <v>25</v>
      </c>
      <c r="FV3" s="127" t="s">
        <v>23</v>
      </c>
      <c r="FW3" s="128" t="s">
        <v>24</v>
      </c>
      <c r="FX3" s="129" t="s">
        <v>46</v>
      </c>
      <c r="FY3" s="130" t="s">
        <v>47</v>
      </c>
      <c r="FZ3" s="128" t="s">
        <v>17</v>
      </c>
      <c r="GA3" s="131" t="s">
        <v>25</v>
      </c>
      <c r="GB3" s="127" t="s">
        <v>23</v>
      </c>
      <c r="GC3" s="128" t="s">
        <v>24</v>
      </c>
      <c r="GD3" s="129" t="s">
        <v>46</v>
      </c>
      <c r="GE3" s="130" t="s">
        <v>47</v>
      </c>
      <c r="GF3" s="128" t="s">
        <v>17</v>
      </c>
      <c r="GG3" s="131" t="s">
        <v>25</v>
      </c>
    </row>
    <row r="4" spans="1:189" s="126" customFormat="1" ht="35.1" customHeight="1" x14ac:dyDescent="0.35">
      <c r="A4" s="137" t="s">
        <v>26</v>
      </c>
      <c r="B4" s="138" t="s">
        <v>27</v>
      </c>
      <c r="C4" s="139" t="s">
        <v>44</v>
      </c>
      <c r="D4" s="132">
        <v>0.375</v>
      </c>
      <c r="E4" s="133">
        <v>0.70833333333333337</v>
      </c>
      <c r="F4" s="134">
        <f>H4-مراجع!$B$2</f>
        <v>0</v>
      </c>
      <c r="G4" s="134">
        <f>مراجع!$B$2-H4</f>
        <v>0</v>
      </c>
      <c r="H4" s="135">
        <f t="shared" ref="H4:H14" si="0">SUM(E4-D4)</f>
        <v>0.33333333333333337</v>
      </c>
      <c r="I4" s="136"/>
      <c r="J4" s="132">
        <v>0.375</v>
      </c>
      <c r="K4" s="133">
        <v>0.70833333333333337</v>
      </c>
      <c r="L4" s="134">
        <f>N4-مراجع!$B$2</f>
        <v>0</v>
      </c>
      <c r="M4" s="134">
        <f>مراجع!$B$2-N4</f>
        <v>0</v>
      </c>
      <c r="N4" s="135">
        <f t="shared" ref="N4:N14" si="1">SUM(K4-J4)</f>
        <v>0.33333333333333337</v>
      </c>
      <c r="O4" s="136"/>
      <c r="P4" s="132">
        <v>0.375</v>
      </c>
      <c r="Q4" s="133">
        <v>0.70833333333333337</v>
      </c>
      <c r="R4" s="134">
        <f>T4-مراجع!$B$2</f>
        <v>0</v>
      </c>
      <c r="S4" s="134">
        <f>مراجع!$B$2-T4</f>
        <v>0</v>
      </c>
      <c r="T4" s="135">
        <f t="shared" ref="T4:T14" si="2">SUM(Q4-P4)</f>
        <v>0.33333333333333337</v>
      </c>
      <c r="U4" s="136"/>
      <c r="V4" s="132">
        <v>0.375</v>
      </c>
      <c r="W4" s="133">
        <v>0.70833333333333337</v>
      </c>
      <c r="X4" s="134">
        <f>Z4-مراجع!$B$2</f>
        <v>0</v>
      </c>
      <c r="Y4" s="134">
        <f>مراجع!$B$2-Z4</f>
        <v>0</v>
      </c>
      <c r="Z4" s="135">
        <f t="shared" ref="Z4:Z14" si="3">SUM(W4-V4)</f>
        <v>0.33333333333333337</v>
      </c>
      <c r="AA4" s="136"/>
      <c r="AB4" s="132">
        <v>0.375</v>
      </c>
      <c r="AC4" s="133">
        <v>0.70833333333333337</v>
      </c>
      <c r="AD4" s="134">
        <f>AF4-مراجع!$B$2</f>
        <v>0</v>
      </c>
      <c r="AE4" s="134">
        <f>مراجع!$B$2-AF4</f>
        <v>0</v>
      </c>
      <c r="AF4" s="135">
        <f t="shared" ref="AF4:AF14" si="4">SUM(AC4-AB4)</f>
        <v>0.33333333333333337</v>
      </c>
      <c r="AG4" s="136"/>
      <c r="AH4" s="132">
        <v>0.375</v>
      </c>
      <c r="AI4" s="133">
        <v>0.70833333333333337</v>
      </c>
      <c r="AJ4" s="134">
        <f>AL4-مراجع!$B$2</f>
        <v>0</v>
      </c>
      <c r="AK4" s="134">
        <f>مراجع!$B$2-AL4</f>
        <v>0</v>
      </c>
      <c r="AL4" s="135">
        <f t="shared" ref="AL4:AL14" si="5">SUM(AI4-AH4)</f>
        <v>0.33333333333333337</v>
      </c>
      <c r="AM4" s="136"/>
      <c r="AN4" s="132">
        <v>0.375</v>
      </c>
      <c r="AO4" s="133">
        <v>0.70833333333333337</v>
      </c>
      <c r="AP4" s="134">
        <f>AR4-مراجع!$B$2</f>
        <v>0</v>
      </c>
      <c r="AQ4" s="134">
        <f>مراجع!$B$2-AR4</f>
        <v>0</v>
      </c>
      <c r="AR4" s="135">
        <f t="shared" ref="AR4:AR14" si="6">SUM(AO4-AN4)</f>
        <v>0.33333333333333337</v>
      </c>
      <c r="AS4" s="136"/>
      <c r="AT4" s="132">
        <v>0.375</v>
      </c>
      <c r="AU4" s="133">
        <v>0.70833333333333337</v>
      </c>
      <c r="AV4" s="134">
        <f>AX4-مراجع!$B$2</f>
        <v>0</v>
      </c>
      <c r="AW4" s="134">
        <f>مراجع!$B$2-AX4</f>
        <v>0</v>
      </c>
      <c r="AX4" s="135">
        <f t="shared" ref="AX4:AX14" si="7">SUM(AU4-AT4)</f>
        <v>0.33333333333333337</v>
      </c>
      <c r="AY4" s="136"/>
      <c r="AZ4" s="132">
        <v>0.375</v>
      </c>
      <c r="BA4" s="133">
        <v>0.70833333333333337</v>
      </c>
      <c r="BB4" s="134">
        <f>BD4-مراجع!$B$2</f>
        <v>0</v>
      </c>
      <c r="BC4" s="134">
        <f>مراجع!$B$2-BD4</f>
        <v>0</v>
      </c>
      <c r="BD4" s="135">
        <f t="shared" ref="BD4:BD14" si="8">SUM(BA4-AZ4)</f>
        <v>0.33333333333333337</v>
      </c>
      <c r="BE4" s="136"/>
      <c r="BF4" s="132">
        <v>0.375</v>
      </c>
      <c r="BG4" s="133">
        <v>0.70833333333333337</v>
      </c>
      <c r="BH4" s="134">
        <f>BJ4-مراجع!$B$2</f>
        <v>0</v>
      </c>
      <c r="BI4" s="134">
        <f>مراجع!$B$2-BJ4</f>
        <v>0</v>
      </c>
      <c r="BJ4" s="135">
        <f t="shared" ref="BJ4:BJ14" si="9">SUM(BG4-BF4)</f>
        <v>0.33333333333333337</v>
      </c>
      <c r="BK4" s="136"/>
      <c r="BL4" s="132">
        <v>0.375</v>
      </c>
      <c r="BM4" s="133">
        <v>0.70833333333333337</v>
      </c>
      <c r="BN4" s="134">
        <f>BP4-مراجع!$B$2</f>
        <v>0</v>
      </c>
      <c r="BO4" s="134">
        <f>مراجع!$B$2-BP4</f>
        <v>0</v>
      </c>
      <c r="BP4" s="135">
        <f t="shared" ref="BP4:BP14" si="10">SUM(BM4-BL4)</f>
        <v>0.33333333333333337</v>
      </c>
      <c r="BQ4" s="136"/>
      <c r="BR4" s="132">
        <v>0.375</v>
      </c>
      <c r="BS4" s="133">
        <v>0.70833333333333337</v>
      </c>
      <c r="BT4" s="134">
        <f>BV4-مراجع!$B$2</f>
        <v>0</v>
      </c>
      <c r="BU4" s="134">
        <f>مراجع!$B$2-BV4</f>
        <v>0</v>
      </c>
      <c r="BV4" s="135">
        <f t="shared" ref="BV4:BV14" si="11">SUM(BS4-BR4)</f>
        <v>0.33333333333333337</v>
      </c>
      <c r="BW4" s="136"/>
      <c r="BX4" s="132">
        <v>0.375</v>
      </c>
      <c r="BY4" s="133">
        <v>0.70833333333333337</v>
      </c>
      <c r="BZ4" s="134">
        <f>CB4-مراجع!$B$2</f>
        <v>0</v>
      </c>
      <c r="CA4" s="134">
        <f>مراجع!$B$2-CB4</f>
        <v>0</v>
      </c>
      <c r="CB4" s="135">
        <f t="shared" ref="CB4:CB14" si="12">SUM(BY4-BX4)</f>
        <v>0.33333333333333337</v>
      </c>
      <c r="CC4" s="136"/>
      <c r="CD4" s="132">
        <v>0.375</v>
      </c>
      <c r="CE4" s="133">
        <v>0.70833333333333337</v>
      </c>
      <c r="CF4" s="134">
        <f>CH4-مراجع!$B$2</f>
        <v>0</v>
      </c>
      <c r="CG4" s="134">
        <f>مراجع!$B$2-CH4</f>
        <v>0</v>
      </c>
      <c r="CH4" s="135">
        <f t="shared" ref="CH4:CH14" si="13">SUM(CE4-CD4)</f>
        <v>0.33333333333333337</v>
      </c>
      <c r="CI4" s="136"/>
      <c r="CJ4" s="132">
        <v>0.375</v>
      </c>
      <c r="CK4" s="133">
        <v>0.70833333333333337</v>
      </c>
      <c r="CL4" s="134">
        <f>CN4-مراجع!$B$2</f>
        <v>0</v>
      </c>
      <c r="CM4" s="134">
        <f>مراجع!$B$2-CN4</f>
        <v>0</v>
      </c>
      <c r="CN4" s="135">
        <f t="shared" ref="CN4:CN14" si="14">SUM(CK4-CJ4)</f>
        <v>0.33333333333333337</v>
      </c>
      <c r="CO4" s="136"/>
      <c r="CP4" s="132">
        <v>0.375</v>
      </c>
      <c r="CQ4" s="133">
        <v>0.70833333333333337</v>
      </c>
      <c r="CR4" s="134">
        <f>CT4-مراجع!$B$2</f>
        <v>0</v>
      </c>
      <c r="CS4" s="134">
        <f>مراجع!$B$2-CT4</f>
        <v>0</v>
      </c>
      <c r="CT4" s="135">
        <f t="shared" ref="CT4:CT14" si="15">SUM(CQ4-CP4)</f>
        <v>0.33333333333333337</v>
      </c>
      <c r="CU4" s="136"/>
      <c r="CV4" s="132">
        <v>0.375</v>
      </c>
      <c r="CW4" s="133">
        <v>0.70833333333333337</v>
      </c>
      <c r="CX4" s="134">
        <f>CZ4-مراجع!$B$2</f>
        <v>0</v>
      </c>
      <c r="CY4" s="134">
        <f>مراجع!$B$2-CZ4</f>
        <v>0</v>
      </c>
      <c r="CZ4" s="135">
        <f t="shared" ref="CZ4:CZ14" si="16">SUM(CW4-CV4)</f>
        <v>0.33333333333333337</v>
      </c>
      <c r="DA4" s="136"/>
      <c r="DB4" s="132">
        <v>0.375</v>
      </c>
      <c r="DC4" s="133">
        <v>0.70833333333333337</v>
      </c>
      <c r="DD4" s="134">
        <f>DF4-مراجع!$B$2</f>
        <v>0</v>
      </c>
      <c r="DE4" s="134">
        <f>مراجع!$B$2-DF4</f>
        <v>0</v>
      </c>
      <c r="DF4" s="135">
        <f t="shared" ref="DF4:DF14" si="17">SUM(DC4-DB4)</f>
        <v>0.33333333333333337</v>
      </c>
      <c r="DG4" s="136"/>
      <c r="DH4" s="132">
        <v>0.375</v>
      </c>
      <c r="DI4" s="133">
        <v>0.70833333333333337</v>
      </c>
      <c r="DJ4" s="134">
        <f>DL4-مراجع!$B$2</f>
        <v>0</v>
      </c>
      <c r="DK4" s="134">
        <f>مراجع!$B$2-DL4</f>
        <v>0</v>
      </c>
      <c r="DL4" s="135">
        <f t="shared" ref="DL4:DL14" si="18">SUM(DI4-DH4)</f>
        <v>0.33333333333333337</v>
      </c>
      <c r="DM4" s="136"/>
      <c r="DN4" s="132">
        <v>0.375</v>
      </c>
      <c r="DO4" s="133">
        <v>0.70833333333333337</v>
      </c>
      <c r="DP4" s="134">
        <f>DR4-مراجع!$B$2</f>
        <v>0</v>
      </c>
      <c r="DQ4" s="134">
        <f>مراجع!$B$2-DR4</f>
        <v>0</v>
      </c>
      <c r="DR4" s="135">
        <f t="shared" ref="DR4:DR14" si="19">SUM(DO4-DN4)</f>
        <v>0.33333333333333337</v>
      </c>
      <c r="DS4" s="136"/>
      <c r="DT4" s="132">
        <v>0.375</v>
      </c>
      <c r="DU4" s="133">
        <v>0.70833333333333337</v>
      </c>
      <c r="DV4" s="134">
        <f>DX4-مراجع!$B$2</f>
        <v>0</v>
      </c>
      <c r="DW4" s="134">
        <f>مراجع!$B$2-DX4</f>
        <v>0</v>
      </c>
      <c r="DX4" s="135">
        <f t="shared" ref="DX4:DX14" si="20">SUM(DU4-DT4)</f>
        <v>0.33333333333333337</v>
      </c>
      <c r="DY4" s="136"/>
      <c r="DZ4" s="132">
        <v>0.375</v>
      </c>
      <c r="EA4" s="133">
        <v>0.70833333333333337</v>
      </c>
      <c r="EB4" s="134">
        <f>ED4-مراجع!$B$2</f>
        <v>0</v>
      </c>
      <c r="EC4" s="134">
        <f>مراجع!$B$2-ED4</f>
        <v>0</v>
      </c>
      <c r="ED4" s="135">
        <f t="shared" ref="ED4:ED14" si="21">SUM(EA4-DZ4)</f>
        <v>0.33333333333333337</v>
      </c>
      <c r="EE4" s="136"/>
      <c r="EF4" s="132">
        <v>0.375</v>
      </c>
      <c r="EG4" s="133">
        <v>0.70833333333333337</v>
      </c>
      <c r="EH4" s="134">
        <f>EJ4-مراجع!$B$2</f>
        <v>0</v>
      </c>
      <c r="EI4" s="134">
        <f>مراجع!$B$2-EJ4</f>
        <v>0</v>
      </c>
      <c r="EJ4" s="135">
        <f t="shared" ref="EJ4:EJ14" si="22">SUM(EG4-EF4)</f>
        <v>0.33333333333333337</v>
      </c>
      <c r="EK4" s="136"/>
      <c r="EL4" s="132">
        <v>0.375</v>
      </c>
      <c r="EM4" s="133">
        <v>0.70833333333333337</v>
      </c>
      <c r="EN4" s="134">
        <f>EP4-مراجع!$B$2</f>
        <v>0</v>
      </c>
      <c r="EO4" s="134">
        <f>مراجع!$B$2-EP4</f>
        <v>0</v>
      </c>
      <c r="EP4" s="135">
        <f t="shared" ref="EP4:EP14" si="23">SUM(EM4-EL4)</f>
        <v>0.33333333333333337</v>
      </c>
      <c r="EQ4" s="136"/>
      <c r="ER4" s="132">
        <v>0.375</v>
      </c>
      <c r="ES4" s="133">
        <v>0.70833333333333337</v>
      </c>
      <c r="ET4" s="134">
        <f>EV4-مراجع!$B$2</f>
        <v>0</v>
      </c>
      <c r="EU4" s="134">
        <f>مراجع!$B$2-EV4</f>
        <v>0</v>
      </c>
      <c r="EV4" s="135">
        <f t="shared" ref="EV4:EV14" si="24">SUM(ES4-ER4)</f>
        <v>0.33333333333333337</v>
      </c>
      <c r="EW4" s="136"/>
      <c r="EX4" s="132"/>
      <c r="EY4" s="133"/>
      <c r="EZ4" s="134">
        <f>FB4-مراجع!$B$2</f>
        <v>-0.33333333333333331</v>
      </c>
      <c r="FA4" s="134">
        <f>مراجع!$B$2-FB4</f>
        <v>0.33333333333333331</v>
      </c>
      <c r="FB4" s="135">
        <f t="shared" ref="FB4:FB14" si="25">SUM(EY4-EX4)</f>
        <v>0</v>
      </c>
      <c r="FC4" s="136"/>
      <c r="FD4" s="132"/>
      <c r="FE4" s="133"/>
      <c r="FF4" s="134">
        <f>FH4-مراجع!$B$2</f>
        <v>-0.33333333333333331</v>
      </c>
      <c r="FG4" s="134">
        <f>مراجع!$B$2-FH4</f>
        <v>0.33333333333333331</v>
      </c>
      <c r="FH4" s="135">
        <f t="shared" ref="FH4:FH14" si="26">SUM(FE4-FD4)</f>
        <v>0</v>
      </c>
      <c r="FI4" s="136"/>
      <c r="FJ4" s="132"/>
      <c r="FK4" s="133"/>
      <c r="FL4" s="134">
        <f>FN4-مراجع!$B$2</f>
        <v>-0.33333333333333331</v>
      </c>
      <c r="FM4" s="134">
        <f>مراجع!$B$2-FN4</f>
        <v>0.33333333333333331</v>
      </c>
      <c r="FN4" s="135">
        <f t="shared" ref="FN4:FN14" si="27">SUM(FK4-FJ4)</f>
        <v>0</v>
      </c>
      <c r="FO4" s="136"/>
      <c r="FP4" s="132"/>
      <c r="FQ4" s="133"/>
      <c r="FR4" s="134">
        <f>FT4-مراجع!$B$2</f>
        <v>-0.33333333333333331</v>
      </c>
      <c r="FS4" s="134">
        <f>مراجع!$B$2-FT4</f>
        <v>0.33333333333333331</v>
      </c>
      <c r="FT4" s="135">
        <f t="shared" ref="FT4:FT14" si="28">SUM(FQ4-FP4)</f>
        <v>0</v>
      </c>
      <c r="FU4" s="136"/>
      <c r="FV4" s="132"/>
      <c r="FW4" s="133"/>
      <c r="FX4" s="134">
        <f>FZ4-مراجع!$B$2</f>
        <v>-0.33333333333333331</v>
      </c>
      <c r="FY4" s="134">
        <f>مراجع!$B$2-FZ4</f>
        <v>0.33333333333333331</v>
      </c>
      <c r="FZ4" s="135">
        <f t="shared" ref="FZ4:FZ14" si="29">SUM(FW4-FV4)</f>
        <v>0</v>
      </c>
      <c r="GA4" s="136"/>
      <c r="GB4" s="132"/>
      <c r="GC4" s="133"/>
      <c r="GD4" s="134">
        <f>GF4-مراجع!$B$2</f>
        <v>-0.33333333333333331</v>
      </c>
      <c r="GE4" s="134">
        <f>مراجع!$B$2-GF4</f>
        <v>0.33333333333333331</v>
      </c>
      <c r="GF4" s="135">
        <f t="shared" ref="GF4:GF14" si="30">SUM(GC4-GB4)</f>
        <v>0</v>
      </c>
      <c r="GG4" s="136"/>
    </row>
    <row r="5" spans="1:189" s="126" customFormat="1" ht="35.1" customHeight="1" x14ac:dyDescent="0.35">
      <c r="A5" s="137" t="s">
        <v>28</v>
      </c>
      <c r="B5" s="138" t="s">
        <v>29</v>
      </c>
      <c r="C5" s="139" t="s">
        <v>44</v>
      </c>
      <c r="D5" s="132"/>
      <c r="E5" s="133"/>
      <c r="F5" s="134">
        <f>H5-مراجع!$B$2</f>
        <v>-0.33333333333333331</v>
      </c>
      <c r="G5" s="134">
        <f>مراجع!$B$2-H5</f>
        <v>0.33333333333333331</v>
      </c>
      <c r="H5" s="135">
        <f t="shared" si="0"/>
        <v>0</v>
      </c>
      <c r="I5" s="136"/>
      <c r="J5" s="132"/>
      <c r="K5" s="133"/>
      <c r="L5" s="134">
        <f>N5-مراجع!$B$2</f>
        <v>-0.33333333333333331</v>
      </c>
      <c r="M5" s="134">
        <f>مراجع!$B$2-N5</f>
        <v>0.33333333333333331</v>
      </c>
      <c r="N5" s="135">
        <f t="shared" si="1"/>
        <v>0</v>
      </c>
      <c r="O5" s="136"/>
      <c r="P5" s="132"/>
      <c r="Q5" s="133"/>
      <c r="R5" s="134">
        <f>T5-مراجع!$B$2</f>
        <v>-0.33333333333333331</v>
      </c>
      <c r="S5" s="134">
        <f>مراجع!$B$2-T5</f>
        <v>0.33333333333333331</v>
      </c>
      <c r="T5" s="135">
        <f t="shared" si="2"/>
        <v>0</v>
      </c>
      <c r="U5" s="136"/>
      <c r="V5" s="132"/>
      <c r="W5" s="133"/>
      <c r="X5" s="134">
        <f>Z5-مراجع!$B$2</f>
        <v>-0.33333333333333331</v>
      </c>
      <c r="Y5" s="134">
        <f>مراجع!$B$2-Z5</f>
        <v>0.33333333333333331</v>
      </c>
      <c r="Z5" s="135">
        <f t="shared" si="3"/>
        <v>0</v>
      </c>
      <c r="AA5" s="136"/>
      <c r="AB5" s="132"/>
      <c r="AC5" s="133"/>
      <c r="AD5" s="134">
        <f>AF5-مراجع!$B$2</f>
        <v>-0.33333333333333331</v>
      </c>
      <c r="AE5" s="134">
        <f>مراجع!$B$2-AF5</f>
        <v>0.33333333333333331</v>
      </c>
      <c r="AF5" s="135">
        <f t="shared" si="4"/>
        <v>0</v>
      </c>
      <c r="AG5" s="136"/>
      <c r="AH5" s="132"/>
      <c r="AI5" s="133"/>
      <c r="AJ5" s="134">
        <f>AL5-مراجع!$B$2</f>
        <v>-0.33333333333333331</v>
      </c>
      <c r="AK5" s="134">
        <f>مراجع!$B$2-AL5</f>
        <v>0.33333333333333331</v>
      </c>
      <c r="AL5" s="135">
        <f t="shared" si="5"/>
        <v>0</v>
      </c>
      <c r="AM5" s="136"/>
      <c r="AN5" s="132"/>
      <c r="AO5" s="133"/>
      <c r="AP5" s="134">
        <f>AR5-مراجع!$B$2</f>
        <v>-0.33333333333333331</v>
      </c>
      <c r="AQ5" s="134">
        <f>مراجع!$B$2-AR5</f>
        <v>0.33333333333333331</v>
      </c>
      <c r="AR5" s="135">
        <f t="shared" si="6"/>
        <v>0</v>
      </c>
      <c r="AS5" s="136"/>
      <c r="AT5" s="132"/>
      <c r="AU5" s="133"/>
      <c r="AV5" s="134">
        <f>AX5-مراجع!$B$2</f>
        <v>-0.33333333333333331</v>
      </c>
      <c r="AW5" s="134">
        <f>مراجع!$B$2-AX5</f>
        <v>0.33333333333333331</v>
      </c>
      <c r="AX5" s="135">
        <f t="shared" si="7"/>
        <v>0</v>
      </c>
      <c r="AY5" s="136"/>
      <c r="AZ5" s="132"/>
      <c r="BA5" s="133"/>
      <c r="BB5" s="134">
        <f>BD5-مراجع!$B$2</f>
        <v>-0.33333333333333331</v>
      </c>
      <c r="BC5" s="134">
        <f>مراجع!$B$2-BD5</f>
        <v>0.33333333333333331</v>
      </c>
      <c r="BD5" s="135">
        <f t="shared" si="8"/>
        <v>0</v>
      </c>
      <c r="BE5" s="136"/>
      <c r="BF5" s="132"/>
      <c r="BG5" s="133"/>
      <c r="BH5" s="134">
        <f>BJ5-مراجع!$B$2</f>
        <v>-0.33333333333333331</v>
      </c>
      <c r="BI5" s="134">
        <f>مراجع!$B$2-BJ5</f>
        <v>0.33333333333333331</v>
      </c>
      <c r="BJ5" s="135">
        <f t="shared" si="9"/>
        <v>0</v>
      </c>
      <c r="BK5" s="136"/>
      <c r="BL5" s="132"/>
      <c r="BM5" s="133"/>
      <c r="BN5" s="134">
        <f>BP5-مراجع!$B$2</f>
        <v>-0.33333333333333331</v>
      </c>
      <c r="BO5" s="134">
        <f>مراجع!$B$2-BP5</f>
        <v>0.33333333333333331</v>
      </c>
      <c r="BP5" s="135">
        <f t="shared" si="10"/>
        <v>0</v>
      </c>
      <c r="BQ5" s="136"/>
      <c r="BR5" s="132"/>
      <c r="BS5" s="133"/>
      <c r="BT5" s="134">
        <f>BV5-مراجع!$B$2</f>
        <v>-0.33333333333333331</v>
      </c>
      <c r="BU5" s="134">
        <f>مراجع!$B$2-BV5</f>
        <v>0.33333333333333331</v>
      </c>
      <c r="BV5" s="135">
        <f t="shared" si="11"/>
        <v>0</v>
      </c>
      <c r="BW5" s="136"/>
      <c r="BX5" s="132"/>
      <c r="BY5" s="133"/>
      <c r="BZ5" s="134">
        <f>CB5-مراجع!$B$2</f>
        <v>-0.33333333333333331</v>
      </c>
      <c r="CA5" s="134">
        <f>مراجع!$B$2-CB5</f>
        <v>0.33333333333333331</v>
      </c>
      <c r="CB5" s="135">
        <f t="shared" si="12"/>
        <v>0</v>
      </c>
      <c r="CC5" s="136"/>
      <c r="CD5" s="132"/>
      <c r="CE5" s="133"/>
      <c r="CF5" s="134">
        <f>CH5-مراجع!$B$2</f>
        <v>-0.33333333333333331</v>
      </c>
      <c r="CG5" s="134">
        <f>مراجع!$B$2-CH5</f>
        <v>0.33333333333333331</v>
      </c>
      <c r="CH5" s="135">
        <f t="shared" si="13"/>
        <v>0</v>
      </c>
      <c r="CI5" s="136"/>
      <c r="CJ5" s="132"/>
      <c r="CK5" s="133"/>
      <c r="CL5" s="134">
        <f>CN5-مراجع!$B$2</f>
        <v>-0.33333333333333331</v>
      </c>
      <c r="CM5" s="134">
        <f>مراجع!$B$2-CN5</f>
        <v>0.33333333333333331</v>
      </c>
      <c r="CN5" s="135">
        <f t="shared" si="14"/>
        <v>0</v>
      </c>
      <c r="CO5" s="136"/>
      <c r="CP5" s="132"/>
      <c r="CQ5" s="133"/>
      <c r="CR5" s="134">
        <f>CT5-مراجع!$B$2</f>
        <v>-0.33333333333333331</v>
      </c>
      <c r="CS5" s="134">
        <f>مراجع!$B$2-CT5</f>
        <v>0.33333333333333331</v>
      </c>
      <c r="CT5" s="135">
        <f t="shared" si="15"/>
        <v>0</v>
      </c>
      <c r="CU5" s="136"/>
      <c r="CV5" s="132"/>
      <c r="CW5" s="133"/>
      <c r="CX5" s="134">
        <f>CZ5-مراجع!$B$2</f>
        <v>-0.33333333333333331</v>
      </c>
      <c r="CY5" s="134">
        <f>مراجع!$B$2-CZ5</f>
        <v>0.33333333333333331</v>
      </c>
      <c r="CZ5" s="135">
        <f t="shared" si="16"/>
        <v>0</v>
      </c>
      <c r="DA5" s="136"/>
      <c r="DB5" s="132"/>
      <c r="DC5" s="133"/>
      <c r="DD5" s="134">
        <f>DF5-مراجع!$B$2</f>
        <v>-0.33333333333333331</v>
      </c>
      <c r="DE5" s="134">
        <f>مراجع!$B$2-DF5</f>
        <v>0.33333333333333331</v>
      </c>
      <c r="DF5" s="135">
        <f t="shared" si="17"/>
        <v>0</v>
      </c>
      <c r="DG5" s="136"/>
      <c r="DH5" s="132"/>
      <c r="DI5" s="133"/>
      <c r="DJ5" s="134">
        <f>DL5-مراجع!$B$2</f>
        <v>-0.33333333333333331</v>
      </c>
      <c r="DK5" s="134">
        <f>مراجع!$B$2-DL5</f>
        <v>0.33333333333333331</v>
      </c>
      <c r="DL5" s="135">
        <f t="shared" si="18"/>
        <v>0</v>
      </c>
      <c r="DM5" s="136"/>
      <c r="DN5" s="132"/>
      <c r="DO5" s="133"/>
      <c r="DP5" s="134">
        <f>DR5-مراجع!$B$2</f>
        <v>-0.33333333333333331</v>
      </c>
      <c r="DQ5" s="134">
        <f>مراجع!$B$2-DR5</f>
        <v>0.33333333333333331</v>
      </c>
      <c r="DR5" s="135">
        <f t="shared" si="19"/>
        <v>0</v>
      </c>
      <c r="DS5" s="136"/>
      <c r="DT5" s="132"/>
      <c r="DU5" s="133"/>
      <c r="DV5" s="134">
        <f>DX5-مراجع!$B$2</f>
        <v>-0.33333333333333331</v>
      </c>
      <c r="DW5" s="134">
        <f>مراجع!$B$2-DX5</f>
        <v>0.33333333333333331</v>
      </c>
      <c r="DX5" s="135">
        <f t="shared" si="20"/>
        <v>0</v>
      </c>
      <c r="DY5" s="136"/>
      <c r="DZ5" s="132"/>
      <c r="EA5" s="133"/>
      <c r="EB5" s="134">
        <f>ED5-مراجع!$B$2</f>
        <v>-0.33333333333333331</v>
      </c>
      <c r="EC5" s="134">
        <f>مراجع!$B$2-ED5</f>
        <v>0.33333333333333331</v>
      </c>
      <c r="ED5" s="135">
        <f t="shared" si="21"/>
        <v>0</v>
      </c>
      <c r="EE5" s="136"/>
      <c r="EF5" s="132"/>
      <c r="EG5" s="133"/>
      <c r="EH5" s="134">
        <f>EJ5-مراجع!$B$2</f>
        <v>-0.33333333333333331</v>
      </c>
      <c r="EI5" s="134">
        <f>مراجع!$B$2-EJ5</f>
        <v>0.33333333333333331</v>
      </c>
      <c r="EJ5" s="135">
        <f t="shared" si="22"/>
        <v>0</v>
      </c>
      <c r="EK5" s="136"/>
      <c r="EL5" s="132"/>
      <c r="EM5" s="133"/>
      <c r="EN5" s="134">
        <f>EP5-مراجع!$B$2</f>
        <v>-0.33333333333333331</v>
      </c>
      <c r="EO5" s="134">
        <f>مراجع!$B$2-EP5</f>
        <v>0.33333333333333331</v>
      </c>
      <c r="EP5" s="135">
        <f t="shared" si="23"/>
        <v>0</v>
      </c>
      <c r="EQ5" s="136"/>
      <c r="ER5" s="132"/>
      <c r="ES5" s="133"/>
      <c r="ET5" s="134">
        <f>EV5-مراجع!$B$2</f>
        <v>-0.33333333333333331</v>
      </c>
      <c r="EU5" s="134">
        <f>مراجع!$B$2-EV5</f>
        <v>0.33333333333333331</v>
      </c>
      <c r="EV5" s="135">
        <f t="shared" si="24"/>
        <v>0</v>
      </c>
      <c r="EW5" s="136"/>
      <c r="EX5" s="132"/>
      <c r="EY5" s="133"/>
      <c r="EZ5" s="134">
        <f>FB5-مراجع!$B$2</f>
        <v>-0.33333333333333331</v>
      </c>
      <c r="FA5" s="134">
        <f>مراجع!$B$2-FB5</f>
        <v>0.33333333333333331</v>
      </c>
      <c r="FB5" s="135">
        <f t="shared" si="25"/>
        <v>0</v>
      </c>
      <c r="FC5" s="136"/>
      <c r="FD5" s="132"/>
      <c r="FE5" s="133"/>
      <c r="FF5" s="134">
        <f>FH5-مراجع!$B$2</f>
        <v>-0.33333333333333331</v>
      </c>
      <c r="FG5" s="134">
        <f>مراجع!$B$2-FH5</f>
        <v>0.33333333333333331</v>
      </c>
      <c r="FH5" s="135">
        <f t="shared" si="26"/>
        <v>0</v>
      </c>
      <c r="FI5" s="136"/>
      <c r="FJ5" s="132"/>
      <c r="FK5" s="133"/>
      <c r="FL5" s="134">
        <f>FN5-مراجع!$B$2</f>
        <v>-0.33333333333333331</v>
      </c>
      <c r="FM5" s="134">
        <f>مراجع!$B$2-FN5</f>
        <v>0.33333333333333331</v>
      </c>
      <c r="FN5" s="135">
        <f t="shared" si="27"/>
        <v>0</v>
      </c>
      <c r="FO5" s="136"/>
      <c r="FP5" s="132"/>
      <c r="FQ5" s="133"/>
      <c r="FR5" s="134">
        <f>FT5-مراجع!$B$2</f>
        <v>-0.33333333333333331</v>
      </c>
      <c r="FS5" s="134">
        <f>مراجع!$B$2-FT5</f>
        <v>0.33333333333333331</v>
      </c>
      <c r="FT5" s="135">
        <f t="shared" si="28"/>
        <v>0</v>
      </c>
      <c r="FU5" s="136"/>
      <c r="FV5" s="132"/>
      <c r="FW5" s="133"/>
      <c r="FX5" s="134">
        <f>FZ5-مراجع!$B$2</f>
        <v>-0.33333333333333331</v>
      </c>
      <c r="FY5" s="134">
        <f>مراجع!$B$2-FZ5</f>
        <v>0.33333333333333331</v>
      </c>
      <c r="FZ5" s="135">
        <f t="shared" si="29"/>
        <v>0</v>
      </c>
      <c r="GA5" s="136"/>
      <c r="GB5" s="132"/>
      <c r="GC5" s="133"/>
      <c r="GD5" s="134">
        <f>GF5-مراجع!$B$2</f>
        <v>-0.33333333333333331</v>
      </c>
      <c r="GE5" s="134">
        <f>مراجع!$B$2-GF5</f>
        <v>0.33333333333333331</v>
      </c>
      <c r="GF5" s="135">
        <f t="shared" si="30"/>
        <v>0</v>
      </c>
      <c r="GG5" s="136"/>
    </row>
    <row r="6" spans="1:189" s="126" customFormat="1" ht="35.1" customHeight="1" x14ac:dyDescent="0.35">
      <c r="A6" s="137" t="s">
        <v>30</v>
      </c>
      <c r="B6" s="138" t="s">
        <v>31</v>
      </c>
      <c r="C6" s="139" t="s">
        <v>44</v>
      </c>
      <c r="D6" s="132"/>
      <c r="E6" s="133"/>
      <c r="F6" s="134">
        <f>H6-مراجع!$B$2</f>
        <v>-0.33333333333333331</v>
      </c>
      <c r="G6" s="134">
        <f>مراجع!$B$2-H6</f>
        <v>0.33333333333333331</v>
      </c>
      <c r="H6" s="135">
        <f t="shared" si="0"/>
        <v>0</v>
      </c>
      <c r="I6" s="136"/>
      <c r="J6" s="132"/>
      <c r="K6" s="133"/>
      <c r="L6" s="134">
        <f>N6-مراجع!$B$2</f>
        <v>-0.33333333333333331</v>
      </c>
      <c r="M6" s="134">
        <f>مراجع!$B$2-N6</f>
        <v>0.33333333333333331</v>
      </c>
      <c r="N6" s="135">
        <f t="shared" si="1"/>
        <v>0</v>
      </c>
      <c r="O6" s="136"/>
      <c r="P6" s="132"/>
      <c r="Q6" s="133"/>
      <c r="R6" s="134">
        <f>T6-مراجع!$B$2</f>
        <v>-0.33333333333333331</v>
      </c>
      <c r="S6" s="134">
        <f>مراجع!$B$2-T6</f>
        <v>0.33333333333333331</v>
      </c>
      <c r="T6" s="135">
        <f t="shared" si="2"/>
        <v>0</v>
      </c>
      <c r="U6" s="136"/>
      <c r="V6" s="132"/>
      <c r="W6" s="133"/>
      <c r="X6" s="134">
        <f>Z6-مراجع!$B$2</f>
        <v>-0.33333333333333331</v>
      </c>
      <c r="Y6" s="134">
        <f>مراجع!$B$2-Z6</f>
        <v>0.33333333333333331</v>
      </c>
      <c r="Z6" s="135">
        <f t="shared" si="3"/>
        <v>0</v>
      </c>
      <c r="AA6" s="136"/>
      <c r="AB6" s="132"/>
      <c r="AC6" s="133"/>
      <c r="AD6" s="134">
        <f>AF6-مراجع!$B$2</f>
        <v>-0.33333333333333331</v>
      </c>
      <c r="AE6" s="134">
        <f>مراجع!$B$2-AF6</f>
        <v>0.33333333333333331</v>
      </c>
      <c r="AF6" s="135">
        <f t="shared" si="4"/>
        <v>0</v>
      </c>
      <c r="AG6" s="136"/>
      <c r="AH6" s="132"/>
      <c r="AI6" s="133"/>
      <c r="AJ6" s="134">
        <f>AL6-مراجع!$B$2</f>
        <v>-0.33333333333333331</v>
      </c>
      <c r="AK6" s="134">
        <f>مراجع!$B$2-AL6</f>
        <v>0.33333333333333331</v>
      </c>
      <c r="AL6" s="135">
        <f t="shared" si="5"/>
        <v>0</v>
      </c>
      <c r="AM6" s="136"/>
      <c r="AN6" s="132"/>
      <c r="AO6" s="133"/>
      <c r="AP6" s="134">
        <f>AR6-مراجع!$B$2</f>
        <v>-0.33333333333333331</v>
      </c>
      <c r="AQ6" s="134">
        <f>مراجع!$B$2-AR6</f>
        <v>0.33333333333333331</v>
      </c>
      <c r="AR6" s="135">
        <f t="shared" si="6"/>
        <v>0</v>
      </c>
      <c r="AS6" s="136"/>
      <c r="AT6" s="132"/>
      <c r="AU6" s="133"/>
      <c r="AV6" s="134">
        <f>AX6-مراجع!$B$2</f>
        <v>-0.33333333333333331</v>
      </c>
      <c r="AW6" s="134">
        <f>مراجع!$B$2-AX6</f>
        <v>0.33333333333333331</v>
      </c>
      <c r="AX6" s="135">
        <f t="shared" si="7"/>
        <v>0</v>
      </c>
      <c r="AY6" s="136"/>
      <c r="AZ6" s="132"/>
      <c r="BA6" s="133"/>
      <c r="BB6" s="134">
        <f>BD6-مراجع!$B$2</f>
        <v>-0.33333333333333331</v>
      </c>
      <c r="BC6" s="134">
        <f>مراجع!$B$2-BD6</f>
        <v>0.33333333333333331</v>
      </c>
      <c r="BD6" s="135">
        <f t="shared" si="8"/>
        <v>0</v>
      </c>
      <c r="BE6" s="136"/>
      <c r="BF6" s="132"/>
      <c r="BG6" s="133"/>
      <c r="BH6" s="134">
        <f>BJ6-مراجع!$B$2</f>
        <v>-0.33333333333333331</v>
      </c>
      <c r="BI6" s="134">
        <f>مراجع!$B$2-BJ6</f>
        <v>0.33333333333333331</v>
      </c>
      <c r="BJ6" s="135">
        <f t="shared" si="9"/>
        <v>0</v>
      </c>
      <c r="BK6" s="136"/>
      <c r="BL6" s="132"/>
      <c r="BM6" s="133"/>
      <c r="BN6" s="134">
        <f>BP6-مراجع!$B$2</f>
        <v>-0.33333333333333331</v>
      </c>
      <c r="BO6" s="134">
        <f>مراجع!$B$2-BP6</f>
        <v>0.33333333333333331</v>
      </c>
      <c r="BP6" s="135">
        <f t="shared" si="10"/>
        <v>0</v>
      </c>
      <c r="BQ6" s="136"/>
      <c r="BR6" s="132"/>
      <c r="BS6" s="133"/>
      <c r="BT6" s="134">
        <f>BV6-مراجع!$B$2</f>
        <v>-0.33333333333333331</v>
      </c>
      <c r="BU6" s="134">
        <f>مراجع!$B$2-BV6</f>
        <v>0.33333333333333331</v>
      </c>
      <c r="BV6" s="135">
        <f t="shared" si="11"/>
        <v>0</v>
      </c>
      <c r="BW6" s="136"/>
      <c r="BX6" s="132"/>
      <c r="BY6" s="133"/>
      <c r="BZ6" s="134">
        <f>CB6-مراجع!$B$2</f>
        <v>-0.33333333333333331</v>
      </c>
      <c r="CA6" s="134">
        <f>مراجع!$B$2-CB6</f>
        <v>0.33333333333333331</v>
      </c>
      <c r="CB6" s="135">
        <f t="shared" si="12"/>
        <v>0</v>
      </c>
      <c r="CC6" s="136"/>
      <c r="CD6" s="132"/>
      <c r="CE6" s="133"/>
      <c r="CF6" s="134">
        <f>CH6-مراجع!$B$2</f>
        <v>-0.33333333333333331</v>
      </c>
      <c r="CG6" s="134">
        <f>مراجع!$B$2-CH6</f>
        <v>0.33333333333333331</v>
      </c>
      <c r="CH6" s="135">
        <f t="shared" si="13"/>
        <v>0</v>
      </c>
      <c r="CI6" s="136"/>
      <c r="CJ6" s="132"/>
      <c r="CK6" s="133"/>
      <c r="CL6" s="134">
        <f>CN6-مراجع!$B$2</f>
        <v>-0.33333333333333331</v>
      </c>
      <c r="CM6" s="134">
        <f>مراجع!$B$2-CN6</f>
        <v>0.33333333333333331</v>
      </c>
      <c r="CN6" s="135">
        <f t="shared" si="14"/>
        <v>0</v>
      </c>
      <c r="CO6" s="136"/>
      <c r="CP6" s="132"/>
      <c r="CQ6" s="133"/>
      <c r="CR6" s="134">
        <f>CT6-مراجع!$B$2</f>
        <v>-0.33333333333333331</v>
      </c>
      <c r="CS6" s="134">
        <f>مراجع!$B$2-CT6</f>
        <v>0.33333333333333331</v>
      </c>
      <c r="CT6" s="135">
        <f t="shared" si="15"/>
        <v>0</v>
      </c>
      <c r="CU6" s="136"/>
      <c r="CV6" s="132"/>
      <c r="CW6" s="133"/>
      <c r="CX6" s="134">
        <f>CZ6-مراجع!$B$2</f>
        <v>-0.33333333333333331</v>
      </c>
      <c r="CY6" s="134">
        <f>مراجع!$B$2-CZ6</f>
        <v>0.33333333333333331</v>
      </c>
      <c r="CZ6" s="135">
        <f t="shared" si="16"/>
        <v>0</v>
      </c>
      <c r="DA6" s="136"/>
      <c r="DB6" s="132"/>
      <c r="DC6" s="133"/>
      <c r="DD6" s="134">
        <f>DF6-مراجع!$B$2</f>
        <v>-0.33333333333333331</v>
      </c>
      <c r="DE6" s="134">
        <f>مراجع!$B$2-DF6</f>
        <v>0.33333333333333331</v>
      </c>
      <c r="DF6" s="135">
        <f t="shared" si="17"/>
        <v>0</v>
      </c>
      <c r="DG6" s="136"/>
      <c r="DH6" s="132"/>
      <c r="DI6" s="133"/>
      <c r="DJ6" s="134">
        <f>DL6-مراجع!$B$2</f>
        <v>-0.33333333333333331</v>
      </c>
      <c r="DK6" s="134">
        <f>مراجع!$B$2-DL6</f>
        <v>0.33333333333333331</v>
      </c>
      <c r="DL6" s="135">
        <f t="shared" si="18"/>
        <v>0</v>
      </c>
      <c r="DM6" s="136"/>
      <c r="DN6" s="132"/>
      <c r="DO6" s="133"/>
      <c r="DP6" s="134">
        <f>DR6-مراجع!$B$2</f>
        <v>-0.33333333333333331</v>
      </c>
      <c r="DQ6" s="134">
        <f>مراجع!$B$2-DR6</f>
        <v>0.33333333333333331</v>
      </c>
      <c r="DR6" s="135">
        <f t="shared" si="19"/>
        <v>0</v>
      </c>
      <c r="DS6" s="136"/>
      <c r="DT6" s="132"/>
      <c r="DU6" s="133"/>
      <c r="DV6" s="134">
        <f>DX6-مراجع!$B$2</f>
        <v>-0.33333333333333331</v>
      </c>
      <c r="DW6" s="134">
        <f>مراجع!$B$2-DX6</f>
        <v>0.33333333333333331</v>
      </c>
      <c r="DX6" s="135">
        <f t="shared" si="20"/>
        <v>0</v>
      </c>
      <c r="DY6" s="136"/>
      <c r="DZ6" s="132"/>
      <c r="EA6" s="133"/>
      <c r="EB6" s="134">
        <f>ED6-مراجع!$B$2</f>
        <v>-0.33333333333333331</v>
      </c>
      <c r="EC6" s="134">
        <f>مراجع!$B$2-ED6</f>
        <v>0.33333333333333331</v>
      </c>
      <c r="ED6" s="135">
        <f t="shared" si="21"/>
        <v>0</v>
      </c>
      <c r="EE6" s="136"/>
      <c r="EF6" s="132"/>
      <c r="EG6" s="133"/>
      <c r="EH6" s="134">
        <f>EJ6-مراجع!$B$2</f>
        <v>-0.33333333333333331</v>
      </c>
      <c r="EI6" s="134">
        <f>مراجع!$B$2-EJ6</f>
        <v>0.33333333333333331</v>
      </c>
      <c r="EJ6" s="135">
        <f t="shared" si="22"/>
        <v>0</v>
      </c>
      <c r="EK6" s="136"/>
      <c r="EL6" s="132"/>
      <c r="EM6" s="133"/>
      <c r="EN6" s="134">
        <f>EP6-مراجع!$B$2</f>
        <v>-0.33333333333333331</v>
      </c>
      <c r="EO6" s="134">
        <f>مراجع!$B$2-EP6</f>
        <v>0.33333333333333331</v>
      </c>
      <c r="EP6" s="135">
        <f t="shared" si="23"/>
        <v>0</v>
      </c>
      <c r="EQ6" s="136"/>
      <c r="ER6" s="132"/>
      <c r="ES6" s="133"/>
      <c r="ET6" s="134">
        <f>EV6-مراجع!$B$2</f>
        <v>-0.33333333333333331</v>
      </c>
      <c r="EU6" s="134">
        <f>مراجع!$B$2-EV6</f>
        <v>0.33333333333333331</v>
      </c>
      <c r="EV6" s="135">
        <f t="shared" si="24"/>
        <v>0</v>
      </c>
      <c r="EW6" s="136"/>
      <c r="EX6" s="132"/>
      <c r="EY6" s="133"/>
      <c r="EZ6" s="134">
        <f>FB6-مراجع!$B$2</f>
        <v>-0.33333333333333331</v>
      </c>
      <c r="FA6" s="134">
        <f>مراجع!$B$2-FB6</f>
        <v>0.33333333333333331</v>
      </c>
      <c r="FB6" s="135">
        <f t="shared" si="25"/>
        <v>0</v>
      </c>
      <c r="FC6" s="136"/>
      <c r="FD6" s="132"/>
      <c r="FE6" s="133"/>
      <c r="FF6" s="134">
        <f>FH6-مراجع!$B$2</f>
        <v>-0.33333333333333331</v>
      </c>
      <c r="FG6" s="134">
        <f>مراجع!$B$2-FH6</f>
        <v>0.33333333333333331</v>
      </c>
      <c r="FH6" s="135">
        <f t="shared" si="26"/>
        <v>0</v>
      </c>
      <c r="FI6" s="136"/>
      <c r="FJ6" s="132"/>
      <c r="FK6" s="133"/>
      <c r="FL6" s="134">
        <f>FN6-مراجع!$B$2</f>
        <v>-0.33333333333333331</v>
      </c>
      <c r="FM6" s="134">
        <f>مراجع!$B$2-FN6</f>
        <v>0.33333333333333331</v>
      </c>
      <c r="FN6" s="135">
        <f t="shared" si="27"/>
        <v>0</v>
      </c>
      <c r="FO6" s="136"/>
      <c r="FP6" s="132"/>
      <c r="FQ6" s="133"/>
      <c r="FR6" s="134">
        <f>FT6-مراجع!$B$2</f>
        <v>-0.33333333333333331</v>
      </c>
      <c r="FS6" s="134">
        <f>مراجع!$B$2-FT6</f>
        <v>0.33333333333333331</v>
      </c>
      <c r="FT6" s="135">
        <f t="shared" si="28"/>
        <v>0</v>
      </c>
      <c r="FU6" s="136"/>
      <c r="FV6" s="132"/>
      <c r="FW6" s="133"/>
      <c r="FX6" s="134">
        <f>FZ6-مراجع!$B$2</f>
        <v>-0.33333333333333331</v>
      </c>
      <c r="FY6" s="134">
        <f>مراجع!$B$2-FZ6</f>
        <v>0.33333333333333331</v>
      </c>
      <c r="FZ6" s="135">
        <f t="shared" si="29"/>
        <v>0</v>
      </c>
      <c r="GA6" s="136"/>
      <c r="GB6" s="132"/>
      <c r="GC6" s="133"/>
      <c r="GD6" s="134">
        <f>GF6-مراجع!$B$2</f>
        <v>-0.33333333333333331</v>
      </c>
      <c r="GE6" s="134">
        <f>مراجع!$B$2-GF6</f>
        <v>0.33333333333333331</v>
      </c>
      <c r="GF6" s="135">
        <f t="shared" si="30"/>
        <v>0</v>
      </c>
      <c r="GG6" s="136"/>
    </row>
    <row r="7" spans="1:189" s="126" customFormat="1" ht="35.1" customHeight="1" x14ac:dyDescent="0.35">
      <c r="A7" s="137" t="s">
        <v>32</v>
      </c>
      <c r="B7" s="140" t="s">
        <v>62</v>
      </c>
      <c r="C7" s="141" t="s">
        <v>45</v>
      </c>
      <c r="D7" s="132"/>
      <c r="E7" s="133"/>
      <c r="F7" s="134">
        <f>H7-مراجع!$B$2</f>
        <v>-0.33333333333333331</v>
      </c>
      <c r="G7" s="134">
        <f>مراجع!$B$2-H7</f>
        <v>0.33333333333333331</v>
      </c>
      <c r="H7" s="135">
        <f t="shared" si="0"/>
        <v>0</v>
      </c>
      <c r="I7" s="136"/>
      <c r="J7" s="132"/>
      <c r="K7" s="133"/>
      <c r="L7" s="134">
        <f>N7-مراجع!$B$2</f>
        <v>-0.33333333333333331</v>
      </c>
      <c r="M7" s="134">
        <f>مراجع!$B$2-N7</f>
        <v>0.33333333333333331</v>
      </c>
      <c r="N7" s="135">
        <f t="shared" si="1"/>
        <v>0</v>
      </c>
      <c r="O7" s="136"/>
      <c r="P7" s="132"/>
      <c r="Q7" s="133"/>
      <c r="R7" s="134">
        <f>T7-مراجع!$B$2</f>
        <v>-0.33333333333333331</v>
      </c>
      <c r="S7" s="134">
        <f>مراجع!$B$2-T7</f>
        <v>0.33333333333333331</v>
      </c>
      <c r="T7" s="135">
        <f t="shared" si="2"/>
        <v>0</v>
      </c>
      <c r="U7" s="136"/>
      <c r="V7" s="132"/>
      <c r="W7" s="133"/>
      <c r="X7" s="134">
        <f>Z7-مراجع!$B$2</f>
        <v>-0.33333333333333331</v>
      </c>
      <c r="Y7" s="134">
        <f>مراجع!$B$2-Z7</f>
        <v>0.33333333333333331</v>
      </c>
      <c r="Z7" s="135">
        <f t="shared" si="3"/>
        <v>0</v>
      </c>
      <c r="AA7" s="136"/>
      <c r="AB7" s="132"/>
      <c r="AC7" s="133"/>
      <c r="AD7" s="134">
        <f>AF7-مراجع!$B$2</f>
        <v>-0.33333333333333331</v>
      </c>
      <c r="AE7" s="134">
        <f>مراجع!$B$2-AF7</f>
        <v>0.33333333333333331</v>
      </c>
      <c r="AF7" s="135">
        <f t="shared" si="4"/>
        <v>0</v>
      </c>
      <c r="AG7" s="136"/>
      <c r="AH7" s="132"/>
      <c r="AI7" s="133"/>
      <c r="AJ7" s="134">
        <f>AL7-مراجع!$B$2</f>
        <v>-0.33333333333333331</v>
      </c>
      <c r="AK7" s="134">
        <f>مراجع!$B$2-AL7</f>
        <v>0.33333333333333331</v>
      </c>
      <c r="AL7" s="135">
        <f t="shared" si="5"/>
        <v>0</v>
      </c>
      <c r="AM7" s="136"/>
      <c r="AN7" s="132"/>
      <c r="AO7" s="133"/>
      <c r="AP7" s="134">
        <f>AR7-مراجع!$B$2</f>
        <v>-0.33333333333333331</v>
      </c>
      <c r="AQ7" s="134">
        <f>مراجع!$B$2-AR7</f>
        <v>0.33333333333333331</v>
      </c>
      <c r="AR7" s="135">
        <f t="shared" si="6"/>
        <v>0</v>
      </c>
      <c r="AS7" s="136"/>
      <c r="AT7" s="132"/>
      <c r="AU7" s="133"/>
      <c r="AV7" s="134">
        <f>AX7-مراجع!$B$2</f>
        <v>-0.33333333333333331</v>
      </c>
      <c r="AW7" s="134">
        <f>مراجع!$B$2-AX7</f>
        <v>0.33333333333333331</v>
      </c>
      <c r="AX7" s="135">
        <f t="shared" si="7"/>
        <v>0</v>
      </c>
      <c r="AY7" s="136"/>
      <c r="AZ7" s="132"/>
      <c r="BA7" s="133"/>
      <c r="BB7" s="134">
        <f>BD7-مراجع!$B$2</f>
        <v>-0.33333333333333331</v>
      </c>
      <c r="BC7" s="134">
        <f>مراجع!$B$2-BD7</f>
        <v>0.33333333333333331</v>
      </c>
      <c r="BD7" s="135">
        <f t="shared" si="8"/>
        <v>0</v>
      </c>
      <c r="BE7" s="136"/>
      <c r="BF7" s="132"/>
      <c r="BG7" s="133"/>
      <c r="BH7" s="134">
        <f>BJ7-مراجع!$B$2</f>
        <v>-0.33333333333333331</v>
      </c>
      <c r="BI7" s="134">
        <f>مراجع!$B$2-BJ7</f>
        <v>0.33333333333333331</v>
      </c>
      <c r="BJ7" s="135">
        <f t="shared" si="9"/>
        <v>0</v>
      </c>
      <c r="BK7" s="136"/>
      <c r="BL7" s="132"/>
      <c r="BM7" s="133"/>
      <c r="BN7" s="134">
        <f>BP7-مراجع!$B$2</f>
        <v>-0.33333333333333331</v>
      </c>
      <c r="BO7" s="134">
        <f>مراجع!$B$2-BP7</f>
        <v>0.33333333333333331</v>
      </c>
      <c r="BP7" s="135">
        <f t="shared" si="10"/>
        <v>0</v>
      </c>
      <c r="BQ7" s="136"/>
      <c r="BR7" s="132"/>
      <c r="BS7" s="133"/>
      <c r="BT7" s="134">
        <f>BV7-مراجع!$B$2</f>
        <v>-0.33333333333333331</v>
      </c>
      <c r="BU7" s="134">
        <f>مراجع!$B$2-BV7</f>
        <v>0.33333333333333331</v>
      </c>
      <c r="BV7" s="135">
        <f t="shared" si="11"/>
        <v>0</v>
      </c>
      <c r="BW7" s="136"/>
      <c r="BX7" s="132"/>
      <c r="BY7" s="133"/>
      <c r="BZ7" s="134">
        <f>CB7-مراجع!$B$2</f>
        <v>-0.33333333333333331</v>
      </c>
      <c r="CA7" s="134">
        <f>مراجع!$B$2-CB7</f>
        <v>0.33333333333333331</v>
      </c>
      <c r="CB7" s="135">
        <f t="shared" si="12"/>
        <v>0</v>
      </c>
      <c r="CC7" s="136"/>
      <c r="CD7" s="132"/>
      <c r="CE7" s="133"/>
      <c r="CF7" s="134">
        <f>CH7-مراجع!$B$2</f>
        <v>-0.33333333333333331</v>
      </c>
      <c r="CG7" s="134">
        <f>مراجع!$B$2-CH7</f>
        <v>0.33333333333333331</v>
      </c>
      <c r="CH7" s="135">
        <f t="shared" si="13"/>
        <v>0</v>
      </c>
      <c r="CI7" s="136"/>
      <c r="CJ7" s="132"/>
      <c r="CK7" s="133"/>
      <c r="CL7" s="134">
        <f>CN7-مراجع!$B$2</f>
        <v>-0.33333333333333331</v>
      </c>
      <c r="CM7" s="134">
        <f>مراجع!$B$2-CN7</f>
        <v>0.33333333333333331</v>
      </c>
      <c r="CN7" s="135">
        <f t="shared" si="14"/>
        <v>0</v>
      </c>
      <c r="CO7" s="136"/>
      <c r="CP7" s="132"/>
      <c r="CQ7" s="133"/>
      <c r="CR7" s="134">
        <f>CT7-مراجع!$B$2</f>
        <v>-0.33333333333333331</v>
      </c>
      <c r="CS7" s="134">
        <f>مراجع!$B$2-CT7</f>
        <v>0.33333333333333331</v>
      </c>
      <c r="CT7" s="135">
        <f t="shared" si="15"/>
        <v>0</v>
      </c>
      <c r="CU7" s="136"/>
      <c r="CV7" s="132"/>
      <c r="CW7" s="133"/>
      <c r="CX7" s="134">
        <f>CZ7-مراجع!$B$2</f>
        <v>-0.33333333333333331</v>
      </c>
      <c r="CY7" s="134">
        <f>مراجع!$B$2-CZ7</f>
        <v>0.33333333333333331</v>
      </c>
      <c r="CZ7" s="135">
        <f t="shared" si="16"/>
        <v>0</v>
      </c>
      <c r="DA7" s="136"/>
      <c r="DB7" s="132"/>
      <c r="DC7" s="133"/>
      <c r="DD7" s="134">
        <f>DF7-مراجع!$B$2</f>
        <v>-0.33333333333333331</v>
      </c>
      <c r="DE7" s="134">
        <f>مراجع!$B$2-DF7</f>
        <v>0.33333333333333331</v>
      </c>
      <c r="DF7" s="135">
        <f t="shared" si="17"/>
        <v>0</v>
      </c>
      <c r="DG7" s="136"/>
      <c r="DH7" s="132"/>
      <c r="DI7" s="133"/>
      <c r="DJ7" s="134">
        <f>DL7-مراجع!$B$2</f>
        <v>-0.33333333333333331</v>
      </c>
      <c r="DK7" s="134">
        <f>مراجع!$B$2-DL7</f>
        <v>0.33333333333333331</v>
      </c>
      <c r="DL7" s="135">
        <f t="shared" si="18"/>
        <v>0</v>
      </c>
      <c r="DM7" s="136"/>
      <c r="DN7" s="132"/>
      <c r="DO7" s="133"/>
      <c r="DP7" s="134">
        <f>DR7-مراجع!$B$2</f>
        <v>-0.33333333333333331</v>
      </c>
      <c r="DQ7" s="134">
        <f>مراجع!$B$2-DR7</f>
        <v>0.33333333333333331</v>
      </c>
      <c r="DR7" s="135">
        <f t="shared" si="19"/>
        <v>0</v>
      </c>
      <c r="DS7" s="136"/>
      <c r="DT7" s="132"/>
      <c r="DU7" s="133"/>
      <c r="DV7" s="134">
        <f>DX7-مراجع!$B$2</f>
        <v>-0.33333333333333331</v>
      </c>
      <c r="DW7" s="134">
        <f>مراجع!$B$2-DX7</f>
        <v>0.33333333333333331</v>
      </c>
      <c r="DX7" s="135">
        <f t="shared" si="20"/>
        <v>0</v>
      </c>
      <c r="DY7" s="136"/>
      <c r="DZ7" s="132"/>
      <c r="EA7" s="133"/>
      <c r="EB7" s="134">
        <f>ED7-مراجع!$B$2</f>
        <v>-0.33333333333333331</v>
      </c>
      <c r="EC7" s="134">
        <f>مراجع!$B$2-ED7</f>
        <v>0.33333333333333331</v>
      </c>
      <c r="ED7" s="135">
        <f t="shared" si="21"/>
        <v>0</v>
      </c>
      <c r="EE7" s="136"/>
      <c r="EF7" s="132"/>
      <c r="EG7" s="133"/>
      <c r="EH7" s="134">
        <f>EJ7-مراجع!$B$2</f>
        <v>-0.33333333333333331</v>
      </c>
      <c r="EI7" s="134">
        <f>مراجع!$B$2-EJ7</f>
        <v>0.33333333333333331</v>
      </c>
      <c r="EJ7" s="135">
        <f t="shared" si="22"/>
        <v>0</v>
      </c>
      <c r="EK7" s="136"/>
      <c r="EL7" s="132"/>
      <c r="EM7" s="133"/>
      <c r="EN7" s="134">
        <f>EP7-مراجع!$B$2</f>
        <v>-0.33333333333333331</v>
      </c>
      <c r="EO7" s="134">
        <f>مراجع!$B$2-EP7</f>
        <v>0.33333333333333331</v>
      </c>
      <c r="EP7" s="135">
        <f t="shared" si="23"/>
        <v>0</v>
      </c>
      <c r="EQ7" s="136"/>
      <c r="ER7" s="132"/>
      <c r="ES7" s="133"/>
      <c r="ET7" s="134">
        <f>EV7-مراجع!$B$2</f>
        <v>-0.33333333333333331</v>
      </c>
      <c r="EU7" s="134">
        <f>مراجع!$B$2-EV7</f>
        <v>0.33333333333333331</v>
      </c>
      <c r="EV7" s="135">
        <f t="shared" si="24"/>
        <v>0</v>
      </c>
      <c r="EW7" s="136"/>
      <c r="EX7" s="132"/>
      <c r="EY7" s="133"/>
      <c r="EZ7" s="134">
        <f>FB7-مراجع!$B$2</f>
        <v>-0.33333333333333331</v>
      </c>
      <c r="FA7" s="134">
        <f>مراجع!$B$2-FB7</f>
        <v>0.33333333333333331</v>
      </c>
      <c r="FB7" s="135">
        <f t="shared" si="25"/>
        <v>0</v>
      </c>
      <c r="FC7" s="136"/>
      <c r="FD7" s="132"/>
      <c r="FE7" s="133"/>
      <c r="FF7" s="134">
        <f>FH7-مراجع!$B$2</f>
        <v>-0.33333333333333331</v>
      </c>
      <c r="FG7" s="134">
        <f>مراجع!$B$2-FH7</f>
        <v>0.33333333333333331</v>
      </c>
      <c r="FH7" s="135">
        <f t="shared" si="26"/>
        <v>0</v>
      </c>
      <c r="FI7" s="136"/>
      <c r="FJ7" s="132"/>
      <c r="FK7" s="133"/>
      <c r="FL7" s="134">
        <f>FN7-مراجع!$B$2</f>
        <v>-0.33333333333333331</v>
      </c>
      <c r="FM7" s="134">
        <f>مراجع!$B$2-FN7</f>
        <v>0.33333333333333331</v>
      </c>
      <c r="FN7" s="135">
        <f t="shared" si="27"/>
        <v>0</v>
      </c>
      <c r="FO7" s="136"/>
      <c r="FP7" s="132"/>
      <c r="FQ7" s="133"/>
      <c r="FR7" s="134">
        <f>FT7-مراجع!$B$2</f>
        <v>-0.33333333333333331</v>
      </c>
      <c r="FS7" s="134">
        <f>مراجع!$B$2-FT7</f>
        <v>0.33333333333333331</v>
      </c>
      <c r="FT7" s="135">
        <f t="shared" si="28"/>
        <v>0</v>
      </c>
      <c r="FU7" s="136"/>
      <c r="FV7" s="132"/>
      <c r="FW7" s="133"/>
      <c r="FX7" s="134">
        <f>FZ7-مراجع!$B$2</f>
        <v>-0.33333333333333331</v>
      </c>
      <c r="FY7" s="134">
        <f>مراجع!$B$2-FZ7</f>
        <v>0.33333333333333331</v>
      </c>
      <c r="FZ7" s="135">
        <f t="shared" si="29"/>
        <v>0</v>
      </c>
      <c r="GA7" s="136"/>
      <c r="GB7" s="132"/>
      <c r="GC7" s="133"/>
      <c r="GD7" s="134">
        <f>GF7-مراجع!$B$2</f>
        <v>-0.33333333333333331</v>
      </c>
      <c r="GE7" s="134">
        <f>مراجع!$B$2-GF7</f>
        <v>0.33333333333333331</v>
      </c>
      <c r="GF7" s="135">
        <f t="shared" si="30"/>
        <v>0</v>
      </c>
      <c r="GG7" s="136"/>
    </row>
    <row r="8" spans="1:189" s="126" customFormat="1" ht="35.1" customHeight="1" x14ac:dyDescent="0.35">
      <c r="A8" s="137" t="s">
        <v>33</v>
      </c>
      <c r="B8" s="138" t="s">
        <v>34</v>
      </c>
      <c r="C8" s="139" t="s">
        <v>44</v>
      </c>
      <c r="D8" s="132"/>
      <c r="E8" s="133"/>
      <c r="F8" s="134">
        <f>H8-مراجع!$B$2</f>
        <v>-0.33333333333333331</v>
      </c>
      <c r="G8" s="134">
        <f>مراجع!$B$2-H8</f>
        <v>0.33333333333333331</v>
      </c>
      <c r="H8" s="135">
        <f t="shared" si="0"/>
        <v>0</v>
      </c>
      <c r="I8" s="136"/>
      <c r="J8" s="132"/>
      <c r="K8" s="133"/>
      <c r="L8" s="134">
        <f>N8-مراجع!$B$2</f>
        <v>-0.33333333333333331</v>
      </c>
      <c r="M8" s="134">
        <f>مراجع!$B$2-N8</f>
        <v>0.33333333333333331</v>
      </c>
      <c r="N8" s="135">
        <f t="shared" si="1"/>
        <v>0</v>
      </c>
      <c r="O8" s="136"/>
      <c r="P8" s="132"/>
      <c r="Q8" s="133"/>
      <c r="R8" s="134">
        <f>T8-مراجع!$B$2</f>
        <v>-0.33333333333333331</v>
      </c>
      <c r="S8" s="134">
        <f>مراجع!$B$2-T8</f>
        <v>0.33333333333333331</v>
      </c>
      <c r="T8" s="135">
        <f t="shared" si="2"/>
        <v>0</v>
      </c>
      <c r="U8" s="136"/>
      <c r="V8" s="132"/>
      <c r="W8" s="133"/>
      <c r="X8" s="134">
        <f>Z8-مراجع!$B$2</f>
        <v>-0.33333333333333331</v>
      </c>
      <c r="Y8" s="134">
        <f>مراجع!$B$2-Z8</f>
        <v>0.33333333333333331</v>
      </c>
      <c r="Z8" s="135">
        <f t="shared" si="3"/>
        <v>0</v>
      </c>
      <c r="AA8" s="136"/>
      <c r="AB8" s="132"/>
      <c r="AC8" s="133"/>
      <c r="AD8" s="134">
        <f>AF8-مراجع!$B$2</f>
        <v>-0.33333333333333331</v>
      </c>
      <c r="AE8" s="134">
        <f>مراجع!$B$2-AF8</f>
        <v>0.33333333333333331</v>
      </c>
      <c r="AF8" s="135">
        <f t="shared" si="4"/>
        <v>0</v>
      </c>
      <c r="AG8" s="136"/>
      <c r="AH8" s="132"/>
      <c r="AI8" s="133"/>
      <c r="AJ8" s="134">
        <f>AL8-مراجع!$B$2</f>
        <v>-0.33333333333333331</v>
      </c>
      <c r="AK8" s="134">
        <f>مراجع!$B$2-AL8</f>
        <v>0.33333333333333331</v>
      </c>
      <c r="AL8" s="135">
        <f t="shared" si="5"/>
        <v>0</v>
      </c>
      <c r="AM8" s="136"/>
      <c r="AN8" s="132"/>
      <c r="AO8" s="133"/>
      <c r="AP8" s="134">
        <f>AR8-مراجع!$B$2</f>
        <v>-0.33333333333333331</v>
      </c>
      <c r="AQ8" s="134">
        <f>مراجع!$B$2-AR8</f>
        <v>0.33333333333333331</v>
      </c>
      <c r="AR8" s="135">
        <f t="shared" si="6"/>
        <v>0</v>
      </c>
      <c r="AS8" s="136"/>
      <c r="AT8" s="132"/>
      <c r="AU8" s="133"/>
      <c r="AV8" s="134">
        <f>AX8-مراجع!$B$2</f>
        <v>-0.33333333333333331</v>
      </c>
      <c r="AW8" s="134">
        <f>مراجع!$B$2-AX8</f>
        <v>0.33333333333333331</v>
      </c>
      <c r="AX8" s="135">
        <f t="shared" si="7"/>
        <v>0</v>
      </c>
      <c r="AY8" s="136"/>
      <c r="AZ8" s="132"/>
      <c r="BA8" s="133"/>
      <c r="BB8" s="134">
        <f>BD8-مراجع!$B$2</f>
        <v>-0.33333333333333331</v>
      </c>
      <c r="BC8" s="134">
        <f>مراجع!$B$2-BD8</f>
        <v>0.33333333333333331</v>
      </c>
      <c r="BD8" s="135">
        <f t="shared" si="8"/>
        <v>0</v>
      </c>
      <c r="BE8" s="136"/>
      <c r="BF8" s="132"/>
      <c r="BG8" s="133"/>
      <c r="BH8" s="134">
        <f>BJ8-مراجع!$B$2</f>
        <v>-0.33333333333333331</v>
      </c>
      <c r="BI8" s="134">
        <f>مراجع!$B$2-BJ8</f>
        <v>0.33333333333333331</v>
      </c>
      <c r="BJ8" s="135">
        <f t="shared" si="9"/>
        <v>0</v>
      </c>
      <c r="BK8" s="136"/>
      <c r="BL8" s="132"/>
      <c r="BM8" s="133"/>
      <c r="BN8" s="134">
        <f>BP8-مراجع!$B$2</f>
        <v>-0.33333333333333331</v>
      </c>
      <c r="BO8" s="134">
        <f>مراجع!$B$2-BP8</f>
        <v>0.33333333333333331</v>
      </c>
      <c r="BP8" s="135">
        <f t="shared" si="10"/>
        <v>0</v>
      </c>
      <c r="BQ8" s="136"/>
      <c r="BR8" s="132"/>
      <c r="BS8" s="133"/>
      <c r="BT8" s="134">
        <f>BV8-مراجع!$B$2</f>
        <v>-0.33333333333333331</v>
      </c>
      <c r="BU8" s="134">
        <f>مراجع!$B$2-BV8</f>
        <v>0.33333333333333331</v>
      </c>
      <c r="BV8" s="135">
        <f t="shared" si="11"/>
        <v>0</v>
      </c>
      <c r="BW8" s="136"/>
      <c r="BX8" s="132"/>
      <c r="BY8" s="133"/>
      <c r="BZ8" s="134">
        <f>CB8-مراجع!$B$2</f>
        <v>-0.33333333333333331</v>
      </c>
      <c r="CA8" s="134">
        <f>مراجع!$B$2-CB8</f>
        <v>0.33333333333333331</v>
      </c>
      <c r="CB8" s="135">
        <f t="shared" si="12"/>
        <v>0</v>
      </c>
      <c r="CC8" s="136"/>
      <c r="CD8" s="132"/>
      <c r="CE8" s="133"/>
      <c r="CF8" s="134">
        <f>CH8-مراجع!$B$2</f>
        <v>-0.33333333333333331</v>
      </c>
      <c r="CG8" s="134">
        <f>مراجع!$B$2-CH8</f>
        <v>0.33333333333333331</v>
      </c>
      <c r="CH8" s="135">
        <f t="shared" si="13"/>
        <v>0</v>
      </c>
      <c r="CI8" s="136"/>
      <c r="CJ8" s="132"/>
      <c r="CK8" s="133"/>
      <c r="CL8" s="134">
        <f>CN8-مراجع!$B$2</f>
        <v>-0.33333333333333331</v>
      </c>
      <c r="CM8" s="134">
        <f>مراجع!$B$2-CN8</f>
        <v>0.33333333333333331</v>
      </c>
      <c r="CN8" s="135">
        <f t="shared" si="14"/>
        <v>0</v>
      </c>
      <c r="CO8" s="136"/>
      <c r="CP8" s="132"/>
      <c r="CQ8" s="133"/>
      <c r="CR8" s="134">
        <f>CT8-مراجع!$B$2</f>
        <v>-0.33333333333333331</v>
      </c>
      <c r="CS8" s="134">
        <f>مراجع!$B$2-CT8</f>
        <v>0.33333333333333331</v>
      </c>
      <c r="CT8" s="135">
        <f t="shared" si="15"/>
        <v>0</v>
      </c>
      <c r="CU8" s="136"/>
      <c r="CV8" s="132"/>
      <c r="CW8" s="133"/>
      <c r="CX8" s="134">
        <f>CZ8-مراجع!$B$2</f>
        <v>-0.33333333333333331</v>
      </c>
      <c r="CY8" s="134">
        <f>مراجع!$B$2-CZ8</f>
        <v>0.33333333333333331</v>
      </c>
      <c r="CZ8" s="135">
        <f t="shared" si="16"/>
        <v>0</v>
      </c>
      <c r="DA8" s="136"/>
      <c r="DB8" s="132"/>
      <c r="DC8" s="133"/>
      <c r="DD8" s="134">
        <f>DF8-مراجع!$B$2</f>
        <v>-0.33333333333333331</v>
      </c>
      <c r="DE8" s="134">
        <f>مراجع!$B$2-DF8</f>
        <v>0.33333333333333331</v>
      </c>
      <c r="DF8" s="135">
        <f t="shared" si="17"/>
        <v>0</v>
      </c>
      <c r="DG8" s="136"/>
      <c r="DH8" s="132"/>
      <c r="DI8" s="133"/>
      <c r="DJ8" s="134">
        <f>DL8-مراجع!$B$2</f>
        <v>-0.33333333333333331</v>
      </c>
      <c r="DK8" s="134">
        <f>مراجع!$B$2-DL8</f>
        <v>0.33333333333333331</v>
      </c>
      <c r="DL8" s="135">
        <f t="shared" si="18"/>
        <v>0</v>
      </c>
      <c r="DM8" s="136"/>
      <c r="DN8" s="132"/>
      <c r="DO8" s="133"/>
      <c r="DP8" s="134">
        <f>DR8-مراجع!$B$2</f>
        <v>-0.33333333333333331</v>
      </c>
      <c r="DQ8" s="134">
        <f>مراجع!$B$2-DR8</f>
        <v>0.33333333333333331</v>
      </c>
      <c r="DR8" s="135">
        <f t="shared" si="19"/>
        <v>0</v>
      </c>
      <c r="DS8" s="136"/>
      <c r="DT8" s="132"/>
      <c r="DU8" s="133"/>
      <c r="DV8" s="134">
        <f>DX8-مراجع!$B$2</f>
        <v>-0.33333333333333331</v>
      </c>
      <c r="DW8" s="134">
        <f>مراجع!$B$2-DX8</f>
        <v>0.33333333333333331</v>
      </c>
      <c r="DX8" s="135">
        <f t="shared" si="20"/>
        <v>0</v>
      </c>
      <c r="DY8" s="136"/>
      <c r="DZ8" s="132"/>
      <c r="EA8" s="133"/>
      <c r="EB8" s="134">
        <f>ED8-مراجع!$B$2</f>
        <v>-0.33333333333333331</v>
      </c>
      <c r="EC8" s="134">
        <f>مراجع!$B$2-ED8</f>
        <v>0.33333333333333331</v>
      </c>
      <c r="ED8" s="135">
        <f t="shared" si="21"/>
        <v>0</v>
      </c>
      <c r="EE8" s="136"/>
      <c r="EF8" s="132"/>
      <c r="EG8" s="133"/>
      <c r="EH8" s="134">
        <f>EJ8-مراجع!$B$2</f>
        <v>-0.33333333333333331</v>
      </c>
      <c r="EI8" s="134">
        <f>مراجع!$B$2-EJ8</f>
        <v>0.33333333333333331</v>
      </c>
      <c r="EJ8" s="135">
        <f t="shared" si="22"/>
        <v>0</v>
      </c>
      <c r="EK8" s="136"/>
      <c r="EL8" s="132"/>
      <c r="EM8" s="133"/>
      <c r="EN8" s="134">
        <f>EP8-مراجع!$B$2</f>
        <v>-0.33333333333333331</v>
      </c>
      <c r="EO8" s="134">
        <f>مراجع!$B$2-EP8</f>
        <v>0.33333333333333331</v>
      </c>
      <c r="EP8" s="135">
        <f t="shared" si="23"/>
        <v>0</v>
      </c>
      <c r="EQ8" s="136"/>
      <c r="ER8" s="132"/>
      <c r="ES8" s="133"/>
      <c r="ET8" s="134">
        <f>EV8-مراجع!$B$2</f>
        <v>-0.33333333333333331</v>
      </c>
      <c r="EU8" s="134">
        <f>مراجع!$B$2-EV8</f>
        <v>0.33333333333333331</v>
      </c>
      <c r="EV8" s="135">
        <f t="shared" si="24"/>
        <v>0</v>
      </c>
      <c r="EW8" s="136"/>
      <c r="EX8" s="132"/>
      <c r="EY8" s="133"/>
      <c r="EZ8" s="134">
        <f>FB8-مراجع!$B$2</f>
        <v>-0.33333333333333331</v>
      </c>
      <c r="FA8" s="134">
        <f>مراجع!$B$2-FB8</f>
        <v>0.33333333333333331</v>
      </c>
      <c r="FB8" s="135">
        <f t="shared" si="25"/>
        <v>0</v>
      </c>
      <c r="FC8" s="136"/>
      <c r="FD8" s="132"/>
      <c r="FE8" s="133"/>
      <c r="FF8" s="134">
        <f>FH8-مراجع!$B$2</f>
        <v>-0.33333333333333331</v>
      </c>
      <c r="FG8" s="134">
        <f>مراجع!$B$2-FH8</f>
        <v>0.33333333333333331</v>
      </c>
      <c r="FH8" s="135">
        <f t="shared" si="26"/>
        <v>0</v>
      </c>
      <c r="FI8" s="136"/>
      <c r="FJ8" s="132"/>
      <c r="FK8" s="133"/>
      <c r="FL8" s="134">
        <f>FN8-مراجع!$B$2</f>
        <v>-0.33333333333333331</v>
      </c>
      <c r="FM8" s="134">
        <f>مراجع!$B$2-FN8</f>
        <v>0.33333333333333331</v>
      </c>
      <c r="FN8" s="135">
        <f t="shared" si="27"/>
        <v>0</v>
      </c>
      <c r="FO8" s="136"/>
      <c r="FP8" s="132"/>
      <c r="FQ8" s="133"/>
      <c r="FR8" s="134">
        <f>FT8-مراجع!$B$2</f>
        <v>-0.33333333333333331</v>
      </c>
      <c r="FS8" s="134">
        <f>مراجع!$B$2-FT8</f>
        <v>0.33333333333333331</v>
      </c>
      <c r="FT8" s="135">
        <f t="shared" si="28"/>
        <v>0</v>
      </c>
      <c r="FU8" s="136"/>
      <c r="FV8" s="132"/>
      <c r="FW8" s="133"/>
      <c r="FX8" s="134">
        <f>FZ8-مراجع!$B$2</f>
        <v>-0.33333333333333331</v>
      </c>
      <c r="FY8" s="134">
        <f>مراجع!$B$2-FZ8</f>
        <v>0.33333333333333331</v>
      </c>
      <c r="FZ8" s="135">
        <f t="shared" si="29"/>
        <v>0</v>
      </c>
      <c r="GA8" s="136"/>
      <c r="GB8" s="132"/>
      <c r="GC8" s="133"/>
      <c r="GD8" s="134">
        <f>GF8-مراجع!$B$2</f>
        <v>-0.33333333333333331</v>
      </c>
      <c r="GE8" s="134">
        <f>مراجع!$B$2-GF8</f>
        <v>0.33333333333333331</v>
      </c>
      <c r="GF8" s="135">
        <f t="shared" si="30"/>
        <v>0</v>
      </c>
      <c r="GG8" s="136"/>
    </row>
    <row r="9" spans="1:189" s="126" customFormat="1" ht="35.1" customHeight="1" x14ac:dyDescent="0.35">
      <c r="A9" s="137" t="s">
        <v>35</v>
      </c>
      <c r="B9" s="138" t="s">
        <v>31</v>
      </c>
      <c r="C9" s="139" t="s">
        <v>44</v>
      </c>
      <c r="D9" s="132"/>
      <c r="E9" s="133"/>
      <c r="F9" s="134">
        <f>H9-مراجع!$B$2</f>
        <v>-0.33333333333333331</v>
      </c>
      <c r="G9" s="134">
        <f>مراجع!$B$2-H9</f>
        <v>0.33333333333333331</v>
      </c>
      <c r="H9" s="135">
        <f t="shared" si="0"/>
        <v>0</v>
      </c>
      <c r="I9" s="136"/>
      <c r="J9" s="132"/>
      <c r="K9" s="133"/>
      <c r="L9" s="134">
        <f>N9-مراجع!$B$2</f>
        <v>-0.33333333333333331</v>
      </c>
      <c r="M9" s="134">
        <f>مراجع!$B$2-N9</f>
        <v>0.33333333333333331</v>
      </c>
      <c r="N9" s="135">
        <f t="shared" si="1"/>
        <v>0</v>
      </c>
      <c r="O9" s="136"/>
      <c r="P9" s="132"/>
      <c r="Q9" s="133"/>
      <c r="R9" s="134">
        <f>T9-مراجع!$B$2</f>
        <v>-0.33333333333333331</v>
      </c>
      <c r="S9" s="134">
        <f>مراجع!$B$2-T9</f>
        <v>0.33333333333333331</v>
      </c>
      <c r="T9" s="135">
        <f t="shared" si="2"/>
        <v>0</v>
      </c>
      <c r="U9" s="136"/>
      <c r="V9" s="132"/>
      <c r="W9" s="133"/>
      <c r="X9" s="134">
        <f>Z9-مراجع!$B$2</f>
        <v>-0.33333333333333331</v>
      </c>
      <c r="Y9" s="134">
        <f>مراجع!$B$2-Z9</f>
        <v>0.33333333333333331</v>
      </c>
      <c r="Z9" s="135">
        <f t="shared" si="3"/>
        <v>0</v>
      </c>
      <c r="AA9" s="136"/>
      <c r="AB9" s="132"/>
      <c r="AC9" s="133"/>
      <c r="AD9" s="134">
        <f>AF9-مراجع!$B$2</f>
        <v>-0.33333333333333331</v>
      </c>
      <c r="AE9" s="134">
        <f>مراجع!$B$2-AF9</f>
        <v>0.33333333333333331</v>
      </c>
      <c r="AF9" s="135">
        <f t="shared" si="4"/>
        <v>0</v>
      </c>
      <c r="AG9" s="136"/>
      <c r="AH9" s="132"/>
      <c r="AI9" s="133"/>
      <c r="AJ9" s="134">
        <f>AL9-مراجع!$B$2</f>
        <v>-0.33333333333333331</v>
      </c>
      <c r="AK9" s="134">
        <f>مراجع!$B$2-AL9</f>
        <v>0.33333333333333331</v>
      </c>
      <c r="AL9" s="135">
        <f t="shared" si="5"/>
        <v>0</v>
      </c>
      <c r="AM9" s="136"/>
      <c r="AN9" s="132"/>
      <c r="AO9" s="133"/>
      <c r="AP9" s="134">
        <f>AR9-مراجع!$B$2</f>
        <v>-0.33333333333333331</v>
      </c>
      <c r="AQ9" s="134">
        <f>مراجع!$B$2-AR9</f>
        <v>0.33333333333333331</v>
      </c>
      <c r="AR9" s="135">
        <f t="shared" si="6"/>
        <v>0</v>
      </c>
      <c r="AS9" s="136"/>
      <c r="AT9" s="132"/>
      <c r="AU9" s="133"/>
      <c r="AV9" s="134">
        <f>AX9-مراجع!$B$2</f>
        <v>-0.33333333333333331</v>
      </c>
      <c r="AW9" s="134">
        <f>مراجع!$B$2-AX9</f>
        <v>0.33333333333333331</v>
      </c>
      <c r="AX9" s="135">
        <f t="shared" si="7"/>
        <v>0</v>
      </c>
      <c r="AY9" s="136"/>
      <c r="AZ9" s="132"/>
      <c r="BA9" s="133"/>
      <c r="BB9" s="134">
        <f>BD9-مراجع!$B$2</f>
        <v>-0.33333333333333331</v>
      </c>
      <c r="BC9" s="134">
        <f>مراجع!$B$2-BD9</f>
        <v>0.33333333333333331</v>
      </c>
      <c r="BD9" s="135">
        <f t="shared" si="8"/>
        <v>0</v>
      </c>
      <c r="BE9" s="136"/>
      <c r="BF9" s="132"/>
      <c r="BG9" s="133"/>
      <c r="BH9" s="134">
        <f>BJ9-مراجع!$B$2</f>
        <v>-0.33333333333333331</v>
      </c>
      <c r="BI9" s="134">
        <f>مراجع!$B$2-BJ9</f>
        <v>0.33333333333333331</v>
      </c>
      <c r="BJ9" s="135">
        <f t="shared" si="9"/>
        <v>0</v>
      </c>
      <c r="BK9" s="136"/>
      <c r="BL9" s="132"/>
      <c r="BM9" s="133"/>
      <c r="BN9" s="134">
        <f>BP9-مراجع!$B$2</f>
        <v>-0.33333333333333331</v>
      </c>
      <c r="BO9" s="134">
        <f>مراجع!$B$2-BP9</f>
        <v>0.33333333333333331</v>
      </c>
      <c r="BP9" s="135">
        <f t="shared" si="10"/>
        <v>0</v>
      </c>
      <c r="BQ9" s="136"/>
      <c r="BR9" s="132"/>
      <c r="BS9" s="133"/>
      <c r="BT9" s="134">
        <f>BV9-مراجع!$B$2</f>
        <v>-0.33333333333333331</v>
      </c>
      <c r="BU9" s="134">
        <f>مراجع!$B$2-BV9</f>
        <v>0.33333333333333331</v>
      </c>
      <c r="BV9" s="135">
        <f t="shared" si="11"/>
        <v>0</v>
      </c>
      <c r="BW9" s="136"/>
      <c r="BX9" s="132"/>
      <c r="BY9" s="133"/>
      <c r="BZ9" s="134">
        <f>CB9-مراجع!$B$2</f>
        <v>-0.33333333333333331</v>
      </c>
      <c r="CA9" s="134">
        <f>مراجع!$B$2-CB9</f>
        <v>0.33333333333333331</v>
      </c>
      <c r="CB9" s="135">
        <f t="shared" si="12"/>
        <v>0</v>
      </c>
      <c r="CC9" s="136"/>
      <c r="CD9" s="132"/>
      <c r="CE9" s="133"/>
      <c r="CF9" s="134">
        <f>CH9-مراجع!$B$2</f>
        <v>-0.33333333333333331</v>
      </c>
      <c r="CG9" s="134">
        <f>مراجع!$B$2-CH9</f>
        <v>0.33333333333333331</v>
      </c>
      <c r="CH9" s="135">
        <f t="shared" si="13"/>
        <v>0</v>
      </c>
      <c r="CI9" s="136"/>
      <c r="CJ9" s="132"/>
      <c r="CK9" s="133"/>
      <c r="CL9" s="134">
        <f>CN9-مراجع!$B$2</f>
        <v>-0.33333333333333331</v>
      </c>
      <c r="CM9" s="134">
        <f>مراجع!$B$2-CN9</f>
        <v>0.33333333333333331</v>
      </c>
      <c r="CN9" s="135">
        <f t="shared" si="14"/>
        <v>0</v>
      </c>
      <c r="CO9" s="136"/>
      <c r="CP9" s="132"/>
      <c r="CQ9" s="133"/>
      <c r="CR9" s="134">
        <f>CT9-مراجع!$B$2</f>
        <v>-0.33333333333333331</v>
      </c>
      <c r="CS9" s="134">
        <f>مراجع!$B$2-CT9</f>
        <v>0.33333333333333331</v>
      </c>
      <c r="CT9" s="135">
        <f t="shared" si="15"/>
        <v>0</v>
      </c>
      <c r="CU9" s="136"/>
      <c r="CV9" s="132"/>
      <c r="CW9" s="133"/>
      <c r="CX9" s="134">
        <f>CZ9-مراجع!$B$2</f>
        <v>-0.33333333333333331</v>
      </c>
      <c r="CY9" s="134">
        <f>مراجع!$B$2-CZ9</f>
        <v>0.33333333333333331</v>
      </c>
      <c r="CZ9" s="135">
        <f t="shared" si="16"/>
        <v>0</v>
      </c>
      <c r="DA9" s="136"/>
      <c r="DB9" s="132"/>
      <c r="DC9" s="133"/>
      <c r="DD9" s="134">
        <f>DF9-مراجع!$B$2</f>
        <v>-0.33333333333333331</v>
      </c>
      <c r="DE9" s="134">
        <f>مراجع!$B$2-DF9</f>
        <v>0.33333333333333331</v>
      </c>
      <c r="DF9" s="135">
        <f t="shared" si="17"/>
        <v>0</v>
      </c>
      <c r="DG9" s="136"/>
      <c r="DH9" s="132"/>
      <c r="DI9" s="133"/>
      <c r="DJ9" s="134">
        <f>DL9-مراجع!$B$2</f>
        <v>-0.33333333333333331</v>
      </c>
      <c r="DK9" s="134">
        <f>مراجع!$B$2-DL9</f>
        <v>0.33333333333333331</v>
      </c>
      <c r="DL9" s="135">
        <f t="shared" si="18"/>
        <v>0</v>
      </c>
      <c r="DM9" s="136"/>
      <c r="DN9" s="132"/>
      <c r="DO9" s="133"/>
      <c r="DP9" s="134">
        <f>DR9-مراجع!$B$2</f>
        <v>-0.33333333333333331</v>
      </c>
      <c r="DQ9" s="134">
        <f>مراجع!$B$2-DR9</f>
        <v>0.33333333333333331</v>
      </c>
      <c r="DR9" s="135">
        <f t="shared" si="19"/>
        <v>0</v>
      </c>
      <c r="DS9" s="136"/>
      <c r="DT9" s="132"/>
      <c r="DU9" s="133"/>
      <c r="DV9" s="134">
        <f>DX9-مراجع!$B$2</f>
        <v>-0.33333333333333331</v>
      </c>
      <c r="DW9" s="134">
        <f>مراجع!$B$2-DX9</f>
        <v>0.33333333333333331</v>
      </c>
      <c r="DX9" s="135">
        <f t="shared" si="20"/>
        <v>0</v>
      </c>
      <c r="DY9" s="136"/>
      <c r="DZ9" s="132"/>
      <c r="EA9" s="133"/>
      <c r="EB9" s="134">
        <f>ED9-مراجع!$B$2</f>
        <v>-0.33333333333333331</v>
      </c>
      <c r="EC9" s="134">
        <f>مراجع!$B$2-ED9</f>
        <v>0.33333333333333331</v>
      </c>
      <c r="ED9" s="135">
        <f t="shared" si="21"/>
        <v>0</v>
      </c>
      <c r="EE9" s="136"/>
      <c r="EF9" s="132"/>
      <c r="EG9" s="133"/>
      <c r="EH9" s="134">
        <f>EJ9-مراجع!$B$2</f>
        <v>-0.33333333333333331</v>
      </c>
      <c r="EI9" s="134">
        <f>مراجع!$B$2-EJ9</f>
        <v>0.33333333333333331</v>
      </c>
      <c r="EJ9" s="135">
        <f t="shared" si="22"/>
        <v>0</v>
      </c>
      <c r="EK9" s="136"/>
      <c r="EL9" s="132"/>
      <c r="EM9" s="133"/>
      <c r="EN9" s="134">
        <f>EP9-مراجع!$B$2</f>
        <v>-0.33333333333333331</v>
      </c>
      <c r="EO9" s="134">
        <f>مراجع!$B$2-EP9</f>
        <v>0.33333333333333331</v>
      </c>
      <c r="EP9" s="135">
        <f t="shared" si="23"/>
        <v>0</v>
      </c>
      <c r="EQ9" s="136"/>
      <c r="ER9" s="132"/>
      <c r="ES9" s="133"/>
      <c r="ET9" s="134">
        <f>EV9-مراجع!$B$2</f>
        <v>-0.33333333333333331</v>
      </c>
      <c r="EU9" s="134">
        <f>مراجع!$B$2-EV9</f>
        <v>0.33333333333333331</v>
      </c>
      <c r="EV9" s="135">
        <f t="shared" si="24"/>
        <v>0</v>
      </c>
      <c r="EW9" s="136"/>
      <c r="EX9" s="132"/>
      <c r="EY9" s="133"/>
      <c r="EZ9" s="134">
        <f>FB9-مراجع!$B$2</f>
        <v>-0.33333333333333331</v>
      </c>
      <c r="FA9" s="134">
        <f>مراجع!$B$2-FB9</f>
        <v>0.33333333333333331</v>
      </c>
      <c r="FB9" s="135">
        <f t="shared" si="25"/>
        <v>0</v>
      </c>
      <c r="FC9" s="136"/>
      <c r="FD9" s="132"/>
      <c r="FE9" s="133"/>
      <c r="FF9" s="134">
        <f>FH9-مراجع!$B$2</f>
        <v>-0.33333333333333331</v>
      </c>
      <c r="FG9" s="134">
        <f>مراجع!$B$2-FH9</f>
        <v>0.33333333333333331</v>
      </c>
      <c r="FH9" s="135">
        <f t="shared" si="26"/>
        <v>0</v>
      </c>
      <c r="FI9" s="136"/>
      <c r="FJ9" s="132"/>
      <c r="FK9" s="133"/>
      <c r="FL9" s="134">
        <f>FN9-مراجع!$B$2</f>
        <v>-0.33333333333333331</v>
      </c>
      <c r="FM9" s="134">
        <f>مراجع!$B$2-FN9</f>
        <v>0.33333333333333331</v>
      </c>
      <c r="FN9" s="135">
        <f t="shared" si="27"/>
        <v>0</v>
      </c>
      <c r="FO9" s="136"/>
      <c r="FP9" s="132"/>
      <c r="FQ9" s="133"/>
      <c r="FR9" s="134">
        <f>FT9-مراجع!$B$2</f>
        <v>-0.33333333333333331</v>
      </c>
      <c r="FS9" s="134">
        <f>مراجع!$B$2-FT9</f>
        <v>0.33333333333333331</v>
      </c>
      <c r="FT9" s="135">
        <f t="shared" si="28"/>
        <v>0</v>
      </c>
      <c r="FU9" s="136"/>
      <c r="FV9" s="132"/>
      <c r="FW9" s="133"/>
      <c r="FX9" s="134">
        <f>FZ9-مراجع!$B$2</f>
        <v>-0.33333333333333331</v>
      </c>
      <c r="FY9" s="134">
        <f>مراجع!$B$2-FZ9</f>
        <v>0.33333333333333331</v>
      </c>
      <c r="FZ9" s="135">
        <f t="shared" si="29"/>
        <v>0</v>
      </c>
      <c r="GA9" s="136"/>
      <c r="GB9" s="132"/>
      <c r="GC9" s="133"/>
      <c r="GD9" s="134">
        <f>GF9-مراجع!$B$2</f>
        <v>-0.33333333333333331</v>
      </c>
      <c r="GE9" s="134">
        <f>مراجع!$B$2-GF9</f>
        <v>0.33333333333333331</v>
      </c>
      <c r="GF9" s="135">
        <f t="shared" si="30"/>
        <v>0</v>
      </c>
      <c r="GG9" s="136"/>
    </row>
    <row r="10" spans="1:189" s="126" customFormat="1" ht="35.1" customHeight="1" x14ac:dyDescent="0.35">
      <c r="A10" s="137" t="s">
        <v>36</v>
      </c>
      <c r="B10" s="140" t="s">
        <v>62</v>
      </c>
      <c r="C10" s="141" t="s">
        <v>45</v>
      </c>
      <c r="D10" s="132"/>
      <c r="E10" s="133"/>
      <c r="F10" s="134">
        <f>H10-مراجع!$B$2</f>
        <v>-0.33333333333333331</v>
      </c>
      <c r="G10" s="134">
        <f>مراجع!$B$2-H10</f>
        <v>0.33333333333333331</v>
      </c>
      <c r="H10" s="135">
        <f t="shared" si="0"/>
        <v>0</v>
      </c>
      <c r="I10" s="136"/>
      <c r="J10" s="132"/>
      <c r="K10" s="133"/>
      <c r="L10" s="134">
        <f>N10-مراجع!$B$2</f>
        <v>-0.33333333333333331</v>
      </c>
      <c r="M10" s="134">
        <f>مراجع!$B$2-N10</f>
        <v>0.33333333333333331</v>
      </c>
      <c r="N10" s="135">
        <f t="shared" si="1"/>
        <v>0</v>
      </c>
      <c r="O10" s="136"/>
      <c r="P10" s="132"/>
      <c r="Q10" s="133"/>
      <c r="R10" s="134">
        <f>T10-مراجع!$B$2</f>
        <v>-0.33333333333333331</v>
      </c>
      <c r="S10" s="134">
        <f>مراجع!$B$2-T10</f>
        <v>0.33333333333333331</v>
      </c>
      <c r="T10" s="135">
        <f t="shared" si="2"/>
        <v>0</v>
      </c>
      <c r="U10" s="136"/>
      <c r="V10" s="132"/>
      <c r="W10" s="133"/>
      <c r="X10" s="134">
        <f>Z10-مراجع!$B$2</f>
        <v>-0.33333333333333331</v>
      </c>
      <c r="Y10" s="134">
        <f>مراجع!$B$2-Z10</f>
        <v>0.33333333333333331</v>
      </c>
      <c r="Z10" s="135">
        <f t="shared" si="3"/>
        <v>0</v>
      </c>
      <c r="AA10" s="136"/>
      <c r="AB10" s="132"/>
      <c r="AC10" s="133"/>
      <c r="AD10" s="134">
        <f>AF10-مراجع!$B$2</f>
        <v>-0.33333333333333331</v>
      </c>
      <c r="AE10" s="134">
        <f>مراجع!$B$2-AF10</f>
        <v>0.33333333333333331</v>
      </c>
      <c r="AF10" s="135">
        <f t="shared" si="4"/>
        <v>0</v>
      </c>
      <c r="AG10" s="136"/>
      <c r="AH10" s="132"/>
      <c r="AI10" s="133"/>
      <c r="AJ10" s="134">
        <f>AL10-مراجع!$B$2</f>
        <v>-0.33333333333333331</v>
      </c>
      <c r="AK10" s="134">
        <f>مراجع!$B$2-AL10</f>
        <v>0.33333333333333331</v>
      </c>
      <c r="AL10" s="135">
        <f t="shared" si="5"/>
        <v>0</v>
      </c>
      <c r="AM10" s="136"/>
      <c r="AN10" s="132"/>
      <c r="AO10" s="133"/>
      <c r="AP10" s="134">
        <f>AR10-مراجع!$B$2</f>
        <v>-0.33333333333333331</v>
      </c>
      <c r="AQ10" s="134">
        <f>مراجع!$B$2-AR10</f>
        <v>0.33333333333333331</v>
      </c>
      <c r="AR10" s="135">
        <f t="shared" si="6"/>
        <v>0</v>
      </c>
      <c r="AS10" s="136"/>
      <c r="AT10" s="132"/>
      <c r="AU10" s="133"/>
      <c r="AV10" s="134">
        <f>AX10-مراجع!$B$2</f>
        <v>-0.33333333333333331</v>
      </c>
      <c r="AW10" s="134">
        <f>مراجع!$B$2-AX10</f>
        <v>0.33333333333333331</v>
      </c>
      <c r="AX10" s="135">
        <f t="shared" si="7"/>
        <v>0</v>
      </c>
      <c r="AY10" s="136"/>
      <c r="AZ10" s="132"/>
      <c r="BA10" s="133"/>
      <c r="BB10" s="134">
        <f>BD10-مراجع!$B$2</f>
        <v>-0.33333333333333331</v>
      </c>
      <c r="BC10" s="134">
        <f>مراجع!$B$2-BD10</f>
        <v>0.33333333333333331</v>
      </c>
      <c r="BD10" s="135">
        <f t="shared" si="8"/>
        <v>0</v>
      </c>
      <c r="BE10" s="136"/>
      <c r="BF10" s="132"/>
      <c r="BG10" s="133"/>
      <c r="BH10" s="134">
        <f>BJ10-مراجع!$B$2</f>
        <v>-0.33333333333333331</v>
      </c>
      <c r="BI10" s="134">
        <f>مراجع!$B$2-BJ10</f>
        <v>0.33333333333333331</v>
      </c>
      <c r="BJ10" s="135">
        <f t="shared" si="9"/>
        <v>0</v>
      </c>
      <c r="BK10" s="136"/>
      <c r="BL10" s="132"/>
      <c r="BM10" s="133"/>
      <c r="BN10" s="134">
        <f>BP10-مراجع!$B$2</f>
        <v>-0.33333333333333331</v>
      </c>
      <c r="BO10" s="134">
        <f>مراجع!$B$2-BP10</f>
        <v>0.33333333333333331</v>
      </c>
      <c r="BP10" s="135">
        <f t="shared" si="10"/>
        <v>0</v>
      </c>
      <c r="BQ10" s="136"/>
      <c r="BR10" s="132"/>
      <c r="BS10" s="133"/>
      <c r="BT10" s="134">
        <f>BV10-مراجع!$B$2</f>
        <v>-0.33333333333333331</v>
      </c>
      <c r="BU10" s="134">
        <f>مراجع!$B$2-BV10</f>
        <v>0.33333333333333331</v>
      </c>
      <c r="BV10" s="135">
        <f t="shared" si="11"/>
        <v>0</v>
      </c>
      <c r="BW10" s="136"/>
      <c r="BX10" s="132"/>
      <c r="BY10" s="133"/>
      <c r="BZ10" s="134">
        <f>CB10-مراجع!$B$2</f>
        <v>-0.33333333333333331</v>
      </c>
      <c r="CA10" s="134">
        <f>مراجع!$B$2-CB10</f>
        <v>0.33333333333333331</v>
      </c>
      <c r="CB10" s="135">
        <f t="shared" si="12"/>
        <v>0</v>
      </c>
      <c r="CC10" s="136"/>
      <c r="CD10" s="132"/>
      <c r="CE10" s="133"/>
      <c r="CF10" s="134">
        <f>CH10-مراجع!$B$2</f>
        <v>-0.33333333333333331</v>
      </c>
      <c r="CG10" s="134">
        <f>مراجع!$B$2-CH10</f>
        <v>0.33333333333333331</v>
      </c>
      <c r="CH10" s="135">
        <f t="shared" si="13"/>
        <v>0</v>
      </c>
      <c r="CI10" s="136"/>
      <c r="CJ10" s="132"/>
      <c r="CK10" s="133"/>
      <c r="CL10" s="134">
        <f>CN10-مراجع!$B$2</f>
        <v>-0.33333333333333331</v>
      </c>
      <c r="CM10" s="134">
        <f>مراجع!$B$2-CN10</f>
        <v>0.33333333333333331</v>
      </c>
      <c r="CN10" s="135">
        <f t="shared" si="14"/>
        <v>0</v>
      </c>
      <c r="CO10" s="136"/>
      <c r="CP10" s="132"/>
      <c r="CQ10" s="133"/>
      <c r="CR10" s="134">
        <f>CT10-مراجع!$B$2</f>
        <v>-0.33333333333333331</v>
      </c>
      <c r="CS10" s="134">
        <f>مراجع!$B$2-CT10</f>
        <v>0.33333333333333331</v>
      </c>
      <c r="CT10" s="135">
        <f t="shared" si="15"/>
        <v>0</v>
      </c>
      <c r="CU10" s="136"/>
      <c r="CV10" s="132"/>
      <c r="CW10" s="133"/>
      <c r="CX10" s="134">
        <f>CZ10-مراجع!$B$2</f>
        <v>-0.33333333333333331</v>
      </c>
      <c r="CY10" s="134">
        <f>مراجع!$B$2-CZ10</f>
        <v>0.33333333333333331</v>
      </c>
      <c r="CZ10" s="135">
        <f t="shared" si="16"/>
        <v>0</v>
      </c>
      <c r="DA10" s="136"/>
      <c r="DB10" s="132"/>
      <c r="DC10" s="133"/>
      <c r="DD10" s="134">
        <f>DF10-مراجع!$B$2</f>
        <v>-0.33333333333333331</v>
      </c>
      <c r="DE10" s="134">
        <f>مراجع!$B$2-DF10</f>
        <v>0.33333333333333331</v>
      </c>
      <c r="DF10" s="135">
        <f t="shared" si="17"/>
        <v>0</v>
      </c>
      <c r="DG10" s="136"/>
      <c r="DH10" s="132"/>
      <c r="DI10" s="133"/>
      <c r="DJ10" s="134">
        <f>DL10-مراجع!$B$2</f>
        <v>-0.33333333333333331</v>
      </c>
      <c r="DK10" s="134">
        <f>مراجع!$B$2-DL10</f>
        <v>0.33333333333333331</v>
      </c>
      <c r="DL10" s="135">
        <f t="shared" si="18"/>
        <v>0</v>
      </c>
      <c r="DM10" s="136"/>
      <c r="DN10" s="132"/>
      <c r="DO10" s="133"/>
      <c r="DP10" s="134">
        <f>DR10-مراجع!$B$2</f>
        <v>-0.33333333333333331</v>
      </c>
      <c r="DQ10" s="134">
        <f>مراجع!$B$2-DR10</f>
        <v>0.33333333333333331</v>
      </c>
      <c r="DR10" s="135">
        <f t="shared" si="19"/>
        <v>0</v>
      </c>
      <c r="DS10" s="136"/>
      <c r="DT10" s="132"/>
      <c r="DU10" s="133"/>
      <c r="DV10" s="134">
        <f>DX10-مراجع!$B$2</f>
        <v>-0.33333333333333331</v>
      </c>
      <c r="DW10" s="134">
        <f>مراجع!$B$2-DX10</f>
        <v>0.33333333333333331</v>
      </c>
      <c r="DX10" s="135">
        <f t="shared" si="20"/>
        <v>0</v>
      </c>
      <c r="DY10" s="136"/>
      <c r="DZ10" s="132"/>
      <c r="EA10" s="133"/>
      <c r="EB10" s="134">
        <f>ED10-مراجع!$B$2</f>
        <v>-0.33333333333333331</v>
      </c>
      <c r="EC10" s="134">
        <f>مراجع!$B$2-ED10</f>
        <v>0.33333333333333331</v>
      </c>
      <c r="ED10" s="135">
        <f t="shared" si="21"/>
        <v>0</v>
      </c>
      <c r="EE10" s="136"/>
      <c r="EF10" s="132"/>
      <c r="EG10" s="133"/>
      <c r="EH10" s="134">
        <f>EJ10-مراجع!$B$2</f>
        <v>-0.33333333333333331</v>
      </c>
      <c r="EI10" s="134">
        <f>مراجع!$B$2-EJ10</f>
        <v>0.33333333333333331</v>
      </c>
      <c r="EJ10" s="135">
        <f t="shared" si="22"/>
        <v>0</v>
      </c>
      <c r="EK10" s="136"/>
      <c r="EL10" s="132"/>
      <c r="EM10" s="133"/>
      <c r="EN10" s="134">
        <f>EP10-مراجع!$B$2</f>
        <v>-0.33333333333333331</v>
      </c>
      <c r="EO10" s="134">
        <f>مراجع!$B$2-EP10</f>
        <v>0.33333333333333331</v>
      </c>
      <c r="EP10" s="135">
        <f t="shared" si="23"/>
        <v>0</v>
      </c>
      <c r="EQ10" s="136"/>
      <c r="ER10" s="132"/>
      <c r="ES10" s="133"/>
      <c r="ET10" s="134">
        <f>EV10-مراجع!$B$2</f>
        <v>-0.33333333333333331</v>
      </c>
      <c r="EU10" s="134">
        <f>مراجع!$B$2-EV10</f>
        <v>0.33333333333333331</v>
      </c>
      <c r="EV10" s="135">
        <f t="shared" si="24"/>
        <v>0</v>
      </c>
      <c r="EW10" s="136"/>
      <c r="EX10" s="132"/>
      <c r="EY10" s="133"/>
      <c r="EZ10" s="134">
        <f>FB10-مراجع!$B$2</f>
        <v>-0.33333333333333331</v>
      </c>
      <c r="FA10" s="134">
        <f>مراجع!$B$2-FB10</f>
        <v>0.33333333333333331</v>
      </c>
      <c r="FB10" s="135">
        <f t="shared" si="25"/>
        <v>0</v>
      </c>
      <c r="FC10" s="136"/>
      <c r="FD10" s="132"/>
      <c r="FE10" s="133"/>
      <c r="FF10" s="134">
        <f>FH10-مراجع!$B$2</f>
        <v>-0.33333333333333331</v>
      </c>
      <c r="FG10" s="134">
        <f>مراجع!$B$2-FH10</f>
        <v>0.33333333333333331</v>
      </c>
      <c r="FH10" s="135">
        <f t="shared" si="26"/>
        <v>0</v>
      </c>
      <c r="FI10" s="136"/>
      <c r="FJ10" s="132"/>
      <c r="FK10" s="133"/>
      <c r="FL10" s="134">
        <f>FN10-مراجع!$B$2</f>
        <v>-0.33333333333333331</v>
      </c>
      <c r="FM10" s="134">
        <f>مراجع!$B$2-FN10</f>
        <v>0.33333333333333331</v>
      </c>
      <c r="FN10" s="135">
        <f t="shared" si="27"/>
        <v>0</v>
      </c>
      <c r="FO10" s="136"/>
      <c r="FP10" s="132"/>
      <c r="FQ10" s="133"/>
      <c r="FR10" s="134">
        <f>FT10-مراجع!$B$2</f>
        <v>-0.33333333333333331</v>
      </c>
      <c r="FS10" s="134">
        <f>مراجع!$B$2-FT10</f>
        <v>0.33333333333333331</v>
      </c>
      <c r="FT10" s="135">
        <f t="shared" si="28"/>
        <v>0</v>
      </c>
      <c r="FU10" s="136"/>
      <c r="FV10" s="132"/>
      <c r="FW10" s="133"/>
      <c r="FX10" s="134">
        <f>FZ10-مراجع!$B$2</f>
        <v>-0.33333333333333331</v>
      </c>
      <c r="FY10" s="134">
        <f>مراجع!$B$2-FZ10</f>
        <v>0.33333333333333331</v>
      </c>
      <c r="FZ10" s="135">
        <f t="shared" si="29"/>
        <v>0</v>
      </c>
      <c r="GA10" s="136"/>
      <c r="GB10" s="132"/>
      <c r="GC10" s="133"/>
      <c r="GD10" s="134">
        <f>GF10-مراجع!$B$2</f>
        <v>-0.33333333333333331</v>
      </c>
      <c r="GE10" s="134">
        <f>مراجع!$B$2-GF10</f>
        <v>0.33333333333333331</v>
      </c>
      <c r="GF10" s="135">
        <f t="shared" si="30"/>
        <v>0</v>
      </c>
      <c r="GG10" s="136"/>
    </row>
    <row r="11" spans="1:189" s="126" customFormat="1" ht="35.1" customHeight="1" x14ac:dyDescent="0.35">
      <c r="A11" s="137" t="s">
        <v>37</v>
      </c>
      <c r="B11" s="138" t="s">
        <v>29</v>
      </c>
      <c r="C11" s="139" t="s">
        <v>44</v>
      </c>
      <c r="D11" s="132"/>
      <c r="E11" s="133"/>
      <c r="F11" s="134">
        <f>H11-مراجع!$B$2</f>
        <v>-0.33333333333333331</v>
      </c>
      <c r="G11" s="134">
        <f>مراجع!$B$2-H11</f>
        <v>0.33333333333333331</v>
      </c>
      <c r="H11" s="135">
        <f t="shared" si="0"/>
        <v>0</v>
      </c>
      <c r="I11" s="136"/>
      <c r="J11" s="132"/>
      <c r="K11" s="133"/>
      <c r="L11" s="134">
        <f>N11-مراجع!$B$2</f>
        <v>-0.33333333333333331</v>
      </c>
      <c r="M11" s="134">
        <f>مراجع!$B$2-N11</f>
        <v>0.33333333333333331</v>
      </c>
      <c r="N11" s="135">
        <f t="shared" si="1"/>
        <v>0</v>
      </c>
      <c r="O11" s="136"/>
      <c r="P11" s="132"/>
      <c r="Q11" s="133"/>
      <c r="R11" s="134">
        <f>T11-مراجع!$B$2</f>
        <v>-0.33333333333333331</v>
      </c>
      <c r="S11" s="134">
        <f>مراجع!$B$2-T11</f>
        <v>0.33333333333333331</v>
      </c>
      <c r="T11" s="135">
        <f t="shared" si="2"/>
        <v>0</v>
      </c>
      <c r="U11" s="136"/>
      <c r="V11" s="132"/>
      <c r="W11" s="133"/>
      <c r="X11" s="134">
        <f>Z11-مراجع!$B$2</f>
        <v>-0.33333333333333331</v>
      </c>
      <c r="Y11" s="134">
        <f>مراجع!$B$2-Z11</f>
        <v>0.33333333333333331</v>
      </c>
      <c r="Z11" s="135">
        <f t="shared" si="3"/>
        <v>0</v>
      </c>
      <c r="AA11" s="136"/>
      <c r="AB11" s="132"/>
      <c r="AC11" s="133"/>
      <c r="AD11" s="134">
        <f>AF11-مراجع!$B$2</f>
        <v>-0.33333333333333331</v>
      </c>
      <c r="AE11" s="134">
        <f>مراجع!$B$2-AF11</f>
        <v>0.33333333333333331</v>
      </c>
      <c r="AF11" s="135">
        <f t="shared" si="4"/>
        <v>0</v>
      </c>
      <c r="AG11" s="136"/>
      <c r="AH11" s="132"/>
      <c r="AI11" s="133"/>
      <c r="AJ11" s="134">
        <f>AL11-مراجع!$B$2</f>
        <v>-0.33333333333333331</v>
      </c>
      <c r="AK11" s="134">
        <f>مراجع!$B$2-AL11</f>
        <v>0.33333333333333331</v>
      </c>
      <c r="AL11" s="135">
        <f t="shared" si="5"/>
        <v>0</v>
      </c>
      <c r="AM11" s="136"/>
      <c r="AN11" s="132"/>
      <c r="AO11" s="133"/>
      <c r="AP11" s="134">
        <f>AR11-مراجع!$B$2</f>
        <v>-0.33333333333333331</v>
      </c>
      <c r="AQ11" s="134">
        <f>مراجع!$B$2-AR11</f>
        <v>0.33333333333333331</v>
      </c>
      <c r="AR11" s="135">
        <f t="shared" si="6"/>
        <v>0</v>
      </c>
      <c r="AS11" s="136"/>
      <c r="AT11" s="132"/>
      <c r="AU11" s="133"/>
      <c r="AV11" s="134">
        <f>AX11-مراجع!$B$2</f>
        <v>-0.33333333333333331</v>
      </c>
      <c r="AW11" s="134">
        <f>مراجع!$B$2-AX11</f>
        <v>0.33333333333333331</v>
      </c>
      <c r="AX11" s="135">
        <f t="shared" si="7"/>
        <v>0</v>
      </c>
      <c r="AY11" s="136"/>
      <c r="AZ11" s="132"/>
      <c r="BA11" s="133"/>
      <c r="BB11" s="134">
        <f>BD11-مراجع!$B$2</f>
        <v>-0.33333333333333331</v>
      </c>
      <c r="BC11" s="134">
        <f>مراجع!$B$2-BD11</f>
        <v>0.33333333333333331</v>
      </c>
      <c r="BD11" s="135">
        <f t="shared" si="8"/>
        <v>0</v>
      </c>
      <c r="BE11" s="136"/>
      <c r="BF11" s="132"/>
      <c r="BG11" s="133"/>
      <c r="BH11" s="134">
        <f>BJ11-مراجع!$B$2</f>
        <v>-0.33333333333333331</v>
      </c>
      <c r="BI11" s="134">
        <f>مراجع!$B$2-BJ11</f>
        <v>0.33333333333333331</v>
      </c>
      <c r="BJ11" s="135">
        <f t="shared" si="9"/>
        <v>0</v>
      </c>
      <c r="BK11" s="136"/>
      <c r="BL11" s="132"/>
      <c r="BM11" s="133"/>
      <c r="BN11" s="134">
        <f>BP11-مراجع!$B$2</f>
        <v>-0.33333333333333331</v>
      </c>
      <c r="BO11" s="134">
        <f>مراجع!$B$2-BP11</f>
        <v>0.33333333333333331</v>
      </c>
      <c r="BP11" s="135">
        <f t="shared" si="10"/>
        <v>0</v>
      </c>
      <c r="BQ11" s="136"/>
      <c r="BR11" s="132"/>
      <c r="BS11" s="133"/>
      <c r="BT11" s="134">
        <f>BV11-مراجع!$B$2</f>
        <v>-0.33333333333333331</v>
      </c>
      <c r="BU11" s="134">
        <f>مراجع!$B$2-BV11</f>
        <v>0.33333333333333331</v>
      </c>
      <c r="BV11" s="135">
        <f t="shared" si="11"/>
        <v>0</v>
      </c>
      <c r="BW11" s="136"/>
      <c r="BX11" s="132"/>
      <c r="BY11" s="133"/>
      <c r="BZ11" s="134">
        <f>CB11-مراجع!$B$2</f>
        <v>-0.33333333333333331</v>
      </c>
      <c r="CA11" s="134">
        <f>مراجع!$B$2-CB11</f>
        <v>0.33333333333333331</v>
      </c>
      <c r="CB11" s="135">
        <f t="shared" si="12"/>
        <v>0</v>
      </c>
      <c r="CC11" s="136"/>
      <c r="CD11" s="132"/>
      <c r="CE11" s="133"/>
      <c r="CF11" s="134">
        <f>CH11-مراجع!$B$2</f>
        <v>-0.33333333333333331</v>
      </c>
      <c r="CG11" s="134">
        <f>مراجع!$B$2-CH11</f>
        <v>0.33333333333333331</v>
      </c>
      <c r="CH11" s="135">
        <f t="shared" si="13"/>
        <v>0</v>
      </c>
      <c r="CI11" s="136"/>
      <c r="CJ11" s="132"/>
      <c r="CK11" s="133"/>
      <c r="CL11" s="134">
        <f>CN11-مراجع!$B$2</f>
        <v>-0.33333333333333331</v>
      </c>
      <c r="CM11" s="134">
        <f>مراجع!$B$2-CN11</f>
        <v>0.33333333333333331</v>
      </c>
      <c r="CN11" s="135">
        <f t="shared" si="14"/>
        <v>0</v>
      </c>
      <c r="CO11" s="136"/>
      <c r="CP11" s="132"/>
      <c r="CQ11" s="133"/>
      <c r="CR11" s="134">
        <f>CT11-مراجع!$B$2</f>
        <v>-0.33333333333333331</v>
      </c>
      <c r="CS11" s="134">
        <f>مراجع!$B$2-CT11</f>
        <v>0.33333333333333331</v>
      </c>
      <c r="CT11" s="135">
        <f t="shared" si="15"/>
        <v>0</v>
      </c>
      <c r="CU11" s="136"/>
      <c r="CV11" s="132"/>
      <c r="CW11" s="133"/>
      <c r="CX11" s="134">
        <f>CZ11-مراجع!$B$2</f>
        <v>-0.33333333333333331</v>
      </c>
      <c r="CY11" s="134">
        <f>مراجع!$B$2-CZ11</f>
        <v>0.33333333333333331</v>
      </c>
      <c r="CZ11" s="135">
        <f t="shared" si="16"/>
        <v>0</v>
      </c>
      <c r="DA11" s="136"/>
      <c r="DB11" s="132"/>
      <c r="DC11" s="133"/>
      <c r="DD11" s="134">
        <f>DF11-مراجع!$B$2</f>
        <v>-0.33333333333333331</v>
      </c>
      <c r="DE11" s="134">
        <f>مراجع!$B$2-DF11</f>
        <v>0.33333333333333331</v>
      </c>
      <c r="DF11" s="135">
        <f t="shared" si="17"/>
        <v>0</v>
      </c>
      <c r="DG11" s="136"/>
      <c r="DH11" s="132"/>
      <c r="DI11" s="133"/>
      <c r="DJ11" s="134">
        <f>DL11-مراجع!$B$2</f>
        <v>-0.33333333333333331</v>
      </c>
      <c r="DK11" s="134">
        <f>مراجع!$B$2-DL11</f>
        <v>0.33333333333333331</v>
      </c>
      <c r="DL11" s="135">
        <f t="shared" si="18"/>
        <v>0</v>
      </c>
      <c r="DM11" s="136"/>
      <c r="DN11" s="132"/>
      <c r="DO11" s="133"/>
      <c r="DP11" s="134">
        <f>DR11-مراجع!$B$2</f>
        <v>-0.33333333333333331</v>
      </c>
      <c r="DQ11" s="134">
        <f>مراجع!$B$2-DR11</f>
        <v>0.33333333333333331</v>
      </c>
      <c r="DR11" s="135">
        <f t="shared" si="19"/>
        <v>0</v>
      </c>
      <c r="DS11" s="136"/>
      <c r="DT11" s="132"/>
      <c r="DU11" s="133"/>
      <c r="DV11" s="134">
        <f>DX11-مراجع!$B$2</f>
        <v>-0.33333333333333331</v>
      </c>
      <c r="DW11" s="134">
        <f>مراجع!$B$2-DX11</f>
        <v>0.33333333333333331</v>
      </c>
      <c r="DX11" s="135">
        <f t="shared" si="20"/>
        <v>0</v>
      </c>
      <c r="DY11" s="136"/>
      <c r="DZ11" s="132"/>
      <c r="EA11" s="133"/>
      <c r="EB11" s="134">
        <f>ED11-مراجع!$B$2</f>
        <v>-0.33333333333333331</v>
      </c>
      <c r="EC11" s="134">
        <f>مراجع!$B$2-ED11</f>
        <v>0.33333333333333331</v>
      </c>
      <c r="ED11" s="135">
        <f t="shared" si="21"/>
        <v>0</v>
      </c>
      <c r="EE11" s="136"/>
      <c r="EF11" s="132"/>
      <c r="EG11" s="133"/>
      <c r="EH11" s="134">
        <f>EJ11-مراجع!$B$2</f>
        <v>-0.33333333333333331</v>
      </c>
      <c r="EI11" s="134">
        <f>مراجع!$B$2-EJ11</f>
        <v>0.33333333333333331</v>
      </c>
      <c r="EJ11" s="135">
        <f t="shared" si="22"/>
        <v>0</v>
      </c>
      <c r="EK11" s="136"/>
      <c r="EL11" s="132"/>
      <c r="EM11" s="133"/>
      <c r="EN11" s="134">
        <f>EP11-مراجع!$B$2</f>
        <v>-0.33333333333333331</v>
      </c>
      <c r="EO11" s="134">
        <f>مراجع!$B$2-EP11</f>
        <v>0.33333333333333331</v>
      </c>
      <c r="EP11" s="135">
        <f t="shared" si="23"/>
        <v>0</v>
      </c>
      <c r="EQ11" s="136"/>
      <c r="ER11" s="132"/>
      <c r="ES11" s="133"/>
      <c r="ET11" s="134">
        <f>EV11-مراجع!$B$2</f>
        <v>-0.33333333333333331</v>
      </c>
      <c r="EU11" s="134">
        <f>مراجع!$B$2-EV11</f>
        <v>0.33333333333333331</v>
      </c>
      <c r="EV11" s="135">
        <f t="shared" si="24"/>
        <v>0</v>
      </c>
      <c r="EW11" s="136"/>
      <c r="EX11" s="132"/>
      <c r="EY11" s="133"/>
      <c r="EZ11" s="134">
        <f>FB11-مراجع!$B$2</f>
        <v>-0.33333333333333331</v>
      </c>
      <c r="FA11" s="134">
        <f>مراجع!$B$2-FB11</f>
        <v>0.33333333333333331</v>
      </c>
      <c r="FB11" s="135">
        <f t="shared" si="25"/>
        <v>0</v>
      </c>
      <c r="FC11" s="136"/>
      <c r="FD11" s="132"/>
      <c r="FE11" s="133"/>
      <c r="FF11" s="134">
        <f>FH11-مراجع!$B$2</f>
        <v>-0.33333333333333331</v>
      </c>
      <c r="FG11" s="134">
        <f>مراجع!$B$2-FH11</f>
        <v>0.33333333333333331</v>
      </c>
      <c r="FH11" s="135">
        <f t="shared" si="26"/>
        <v>0</v>
      </c>
      <c r="FI11" s="136"/>
      <c r="FJ11" s="132"/>
      <c r="FK11" s="133"/>
      <c r="FL11" s="134">
        <f>FN11-مراجع!$B$2</f>
        <v>-0.33333333333333331</v>
      </c>
      <c r="FM11" s="134">
        <f>مراجع!$B$2-FN11</f>
        <v>0.33333333333333331</v>
      </c>
      <c r="FN11" s="135">
        <f t="shared" si="27"/>
        <v>0</v>
      </c>
      <c r="FO11" s="136"/>
      <c r="FP11" s="132"/>
      <c r="FQ11" s="133"/>
      <c r="FR11" s="134">
        <f>FT11-مراجع!$B$2</f>
        <v>-0.33333333333333331</v>
      </c>
      <c r="FS11" s="134">
        <f>مراجع!$B$2-FT11</f>
        <v>0.33333333333333331</v>
      </c>
      <c r="FT11" s="135">
        <f t="shared" si="28"/>
        <v>0</v>
      </c>
      <c r="FU11" s="136"/>
      <c r="FV11" s="132"/>
      <c r="FW11" s="133"/>
      <c r="FX11" s="134">
        <f>FZ11-مراجع!$B$2</f>
        <v>-0.33333333333333331</v>
      </c>
      <c r="FY11" s="134">
        <f>مراجع!$B$2-FZ11</f>
        <v>0.33333333333333331</v>
      </c>
      <c r="FZ11" s="135">
        <f t="shared" si="29"/>
        <v>0</v>
      </c>
      <c r="GA11" s="136"/>
      <c r="GB11" s="132"/>
      <c r="GC11" s="133"/>
      <c r="GD11" s="134">
        <f>GF11-مراجع!$B$2</f>
        <v>-0.33333333333333331</v>
      </c>
      <c r="GE11" s="134">
        <f>مراجع!$B$2-GF11</f>
        <v>0.33333333333333331</v>
      </c>
      <c r="GF11" s="135">
        <f t="shared" si="30"/>
        <v>0</v>
      </c>
      <c r="GG11" s="136"/>
    </row>
    <row r="12" spans="1:189" s="126" customFormat="1" ht="35.1" customHeight="1" x14ac:dyDescent="0.35">
      <c r="A12" s="137" t="s">
        <v>38</v>
      </c>
      <c r="B12" s="138" t="s">
        <v>29</v>
      </c>
      <c r="C12" s="139" t="s">
        <v>44</v>
      </c>
      <c r="D12" s="132"/>
      <c r="E12" s="133"/>
      <c r="F12" s="134">
        <f>H12-مراجع!$B$2</f>
        <v>-0.33333333333333331</v>
      </c>
      <c r="G12" s="134">
        <f>مراجع!$B$2-H12</f>
        <v>0.33333333333333331</v>
      </c>
      <c r="H12" s="135">
        <f t="shared" si="0"/>
        <v>0</v>
      </c>
      <c r="I12" s="136"/>
      <c r="J12" s="132"/>
      <c r="K12" s="133"/>
      <c r="L12" s="134">
        <f>N12-مراجع!$B$2</f>
        <v>-0.33333333333333331</v>
      </c>
      <c r="M12" s="134">
        <f>مراجع!$B$2-N12</f>
        <v>0.33333333333333331</v>
      </c>
      <c r="N12" s="135">
        <f t="shared" si="1"/>
        <v>0</v>
      </c>
      <c r="O12" s="136"/>
      <c r="P12" s="132"/>
      <c r="Q12" s="133"/>
      <c r="R12" s="134">
        <f>T12-مراجع!$B$2</f>
        <v>-0.33333333333333331</v>
      </c>
      <c r="S12" s="134">
        <f>مراجع!$B$2-T12</f>
        <v>0.33333333333333331</v>
      </c>
      <c r="T12" s="135">
        <f t="shared" si="2"/>
        <v>0</v>
      </c>
      <c r="U12" s="136"/>
      <c r="V12" s="132"/>
      <c r="W12" s="133"/>
      <c r="X12" s="134">
        <f>Z12-مراجع!$B$2</f>
        <v>-0.33333333333333331</v>
      </c>
      <c r="Y12" s="134">
        <f>مراجع!$B$2-Z12</f>
        <v>0.33333333333333331</v>
      </c>
      <c r="Z12" s="135">
        <f t="shared" si="3"/>
        <v>0</v>
      </c>
      <c r="AA12" s="136"/>
      <c r="AB12" s="132"/>
      <c r="AC12" s="133"/>
      <c r="AD12" s="134">
        <f>AF12-مراجع!$B$2</f>
        <v>-0.33333333333333331</v>
      </c>
      <c r="AE12" s="134">
        <f>مراجع!$B$2-AF12</f>
        <v>0.33333333333333331</v>
      </c>
      <c r="AF12" s="135">
        <f t="shared" si="4"/>
        <v>0</v>
      </c>
      <c r="AG12" s="136"/>
      <c r="AH12" s="132"/>
      <c r="AI12" s="133"/>
      <c r="AJ12" s="134">
        <f>AL12-مراجع!$B$2</f>
        <v>-0.33333333333333331</v>
      </c>
      <c r="AK12" s="134">
        <f>مراجع!$B$2-AL12</f>
        <v>0.33333333333333331</v>
      </c>
      <c r="AL12" s="135">
        <f t="shared" si="5"/>
        <v>0</v>
      </c>
      <c r="AM12" s="136"/>
      <c r="AN12" s="132"/>
      <c r="AO12" s="133"/>
      <c r="AP12" s="134">
        <f>AR12-مراجع!$B$2</f>
        <v>-0.33333333333333331</v>
      </c>
      <c r="AQ12" s="134">
        <f>مراجع!$B$2-AR12</f>
        <v>0.33333333333333331</v>
      </c>
      <c r="AR12" s="135">
        <f t="shared" si="6"/>
        <v>0</v>
      </c>
      <c r="AS12" s="136"/>
      <c r="AT12" s="132"/>
      <c r="AU12" s="133"/>
      <c r="AV12" s="134">
        <f>AX12-مراجع!$B$2</f>
        <v>-0.33333333333333331</v>
      </c>
      <c r="AW12" s="134">
        <f>مراجع!$B$2-AX12</f>
        <v>0.33333333333333331</v>
      </c>
      <c r="AX12" s="135">
        <f t="shared" si="7"/>
        <v>0</v>
      </c>
      <c r="AY12" s="136"/>
      <c r="AZ12" s="132"/>
      <c r="BA12" s="133"/>
      <c r="BB12" s="134">
        <f>BD12-مراجع!$B$2</f>
        <v>-0.33333333333333331</v>
      </c>
      <c r="BC12" s="134">
        <f>مراجع!$B$2-BD12</f>
        <v>0.33333333333333331</v>
      </c>
      <c r="BD12" s="135">
        <f t="shared" si="8"/>
        <v>0</v>
      </c>
      <c r="BE12" s="136"/>
      <c r="BF12" s="132"/>
      <c r="BG12" s="133"/>
      <c r="BH12" s="134">
        <f>BJ12-مراجع!$B$2</f>
        <v>-0.33333333333333331</v>
      </c>
      <c r="BI12" s="134">
        <f>مراجع!$B$2-BJ12</f>
        <v>0.33333333333333331</v>
      </c>
      <c r="BJ12" s="135">
        <f t="shared" si="9"/>
        <v>0</v>
      </c>
      <c r="BK12" s="136"/>
      <c r="BL12" s="132"/>
      <c r="BM12" s="133"/>
      <c r="BN12" s="134">
        <f>BP12-مراجع!$B$2</f>
        <v>-0.33333333333333331</v>
      </c>
      <c r="BO12" s="134">
        <f>مراجع!$B$2-BP12</f>
        <v>0.33333333333333331</v>
      </c>
      <c r="BP12" s="135">
        <f t="shared" si="10"/>
        <v>0</v>
      </c>
      <c r="BQ12" s="136"/>
      <c r="BR12" s="132"/>
      <c r="BS12" s="133"/>
      <c r="BT12" s="134">
        <f>BV12-مراجع!$B$2</f>
        <v>-0.33333333333333331</v>
      </c>
      <c r="BU12" s="134">
        <f>مراجع!$B$2-BV12</f>
        <v>0.33333333333333331</v>
      </c>
      <c r="BV12" s="135">
        <f t="shared" si="11"/>
        <v>0</v>
      </c>
      <c r="BW12" s="136"/>
      <c r="BX12" s="132"/>
      <c r="BY12" s="133"/>
      <c r="BZ12" s="134">
        <f>CB12-مراجع!$B$2</f>
        <v>-0.33333333333333331</v>
      </c>
      <c r="CA12" s="134">
        <f>مراجع!$B$2-CB12</f>
        <v>0.33333333333333331</v>
      </c>
      <c r="CB12" s="135">
        <f t="shared" si="12"/>
        <v>0</v>
      </c>
      <c r="CC12" s="136"/>
      <c r="CD12" s="132"/>
      <c r="CE12" s="133"/>
      <c r="CF12" s="134">
        <f>CH12-مراجع!$B$2</f>
        <v>-0.33333333333333331</v>
      </c>
      <c r="CG12" s="134">
        <f>مراجع!$B$2-CH12</f>
        <v>0.33333333333333331</v>
      </c>
      <c r="CH12" s="135">
        <f t="shared" si="13"/>
        <v>0</v>
      </c>
      <c r="CI12" s="136"/>
      <c r="CJ12" s="132"/>
      <c r="CK12" s="133"/>
      <c r="CL12" s="134">
        <f>CN12-مراجع!$B$2</f>
        <v>-0.33333333333333331</v>
      </c>
      <c r="CM12" s="134">
        <f>مراجع!$B$2-CN12</f>
        <v>0.33333333333333331</v>
      </c>
      <c r="CN12" s="135">
        <f t="shared" si="14"/>
        <v>0</v>
      </c>
      <c r="CO12" s="136"/>
      <c r="CP12" s="132"/>
      <c r="CQ12" s="133"/>
      <c r="CR12" s="134">
        <f>CT12-مراجع!$B$2</f>
        <v>-0.33333333333333331</v>
      </c>
      <c r="CS12" s="134">
        <f>مراجع!$B$2-CT12</f>
        <v>0.33333333333333331</v>
      </c>
      <c r="CT12" s="135">
        <f t="shared" si="15"/>
        <v>0</v>
      </c>
      <c r="CU12" s="136"/>
      <c r="CV12" s="132"/>
      <c r="CW12" s="133"/>
      <c r="CX12" s="134">
        <f>CZ12-مراجع!$B$2</f>
        <v>-0.33333333333333331</v>
      </c>
      <c r="CY12" s="134">
        <f>مراجع!$B$2-CZ12</f>
        <v>0.33333333333333331</v>
      </c>
      <c r="CZ12" s="135">
        <f t="shared" si="16"/>
        <v>0</v>
      </c>
      <c r="DA12" s="136"/>
      <c r="DB12" s="132"/>
      <c r="DC12" s="133"/>
      <c r="DD12" s="134">
        <f>DF12-مراجع!$B$2</f>
        <v>-0.33333333333333331</v>
      </c>
      <c r="DE12" s="134">
        <f>مراجع!$B$2-DF12</f>
        <v>0.33333333333333331</v>
      </c>
      <c r="DF12" s="135">
        <f t="shared" si="17"/>
        <v>0</v>
      </c>
      <c r="DG12" s="136"/>
      <c r="DH12" s="132"/>
      <c r="DI12" s="133"/>
      <c r="DJ12" s="134">
        <f>DL12-مراجع!$B$2</f>
        <v>-0.33333333333333331</v>
      </c>
      <c r="DK12" s="134">
        <f>مراجع!$B$2-DL12</f>
        <v>0.33333333333333331</v>
      </c>
      <c r="DL12" s="135">
        <f t="shared" si="18"/>
        <v>0</v>
      </c>
      <c r="DM12" s="136"/>
      <c r="DN12" s="132"/>
      <c r="DO12" s="133"/>
      <c r="DP12" s="134">
        <f>DR12-مراجع!$B$2</f>
        <v>-0.33333333333333331</v>
      </c>
      <c r="DQ12" s="134">
        <f>مراجع!$B$2-DR12</f>
        <v>0.33333333333333331</v>
      </c>
      <c r="DR12" s="135">
        <f t="shared" si="19"/>
        <v>0</v>
      </c>
      <c r="DS12" s="136"/>
      <c r="DT12" s="132"/>
      <c r="DU12" s="133"/>
      <c r="DV12" s="134">
        <f>DX12-مراجع!$B$2</f>
        <v>-0.33333333333333331</v>
      </c>
      <c r="DW12" s="134">
        <f>مراجع!$B$2-DX12</f>
        <v>0.33333333333333331</v>
      </c>
      <c r="DX12" s="135">
        <f t="shared" si="20"/>
        <v>0</v>
      </c>
      <c r="DY12" s="136"/>
      <c r="DZ12" s="132"/>
      <c r="EA12" s="133"/>
      <c r="EB12" s="134">
        <f>ED12-مراجع!$B$2</f>
        <v>-0.33333333333333331</v>
      </c>
      <c r="EC12" s="134">
        <f>مراجع!$B$2-ED12</f>
        <v>0.33333333333333331</v>
      </c>
      <c r="ED12" s="135">
        <f t="shared" si="21"/>
        <v>0</v>
      </c>
      <c r="EE12" s="136"/>
      <c r="EF12" s="132"/>
      <c r="EG12" s="133"/>
      <c r="EH12" s="134">
        <f>EJ12-مراجع!$B$2</f>
        <v>-0.33333333333333331</v>
      </c>
      <c r="EI12" s="134">
        <f>مراجع!$B$2-EJ12</f>
        <v>0.33333333333333331</v>
      </c>
      <c r="EJ12" s="135">
        <f t="shared" si="22"/>
        <v>0</v>
      </c>
      <c r="EK12" s="136"/>
      <c r="EL12" s="132"/>
      <c r="EM12" s="133"/>
      <c r="EN12" s="134">
        <f>EP12-مراجع!$B$2</f>
        <v>-0.33333333333333331</v>
      </c>
      <c r="EO12" s="134">
        <f>مراجع!$B$2-EP12</f>
        <v>0.33333333333333331</v>
      </c>
      <c r="EP12" s="135">
        <f t="shared" si="23"/>
        <v>0</v>
      </c>
      <c r="EQ12" s="136"/>
      <c r="ER12" s="132"/>
      <c r="ES12" s="133"/>
      <c r="ET12" s="134">
        <f>EV12-مراجع!$B$2</f>
        <v>-0.33333333333333331</v>
      </c>
      <c r="EU12" s="134">
        <f>مراجع!$B$2-EV12</f>
        <v>0.33333333333333331</v>
      </c>
      <c r="EV12" s="135">
        <f t="shared" si="24"/>
        <v>0</v>
      </c>
      <c r="EW12" s="136"/>
      <c r="EX12" s="132"/>
      <c r="EY12" s="133"/>
      <c r="EZ12" s="134">
        <f>FB12-مراجع!$B$2</f>
        <v>-0.33333333333333331</v>
      </c>
      <c r="FA12" s="134">
        <f>مراجع!$B$2-FB12</f>
        <v>0.33333333333333331</v>
      </c>
      <c r="FB12" s="135">
        <f t="shared" si="25"/>
        <v>0</v>
      </c>
      <c r="FC12" s="136"/>
      <c r="FD12" s="132"/>
      <c r="FE12" s="133"/>
      <c r="FF12" s="134">
        <f>FH12-مراجع!$B$2</f>
        <v>-0.33333333333333331</v>
      </c>
      <c r="FG12" s="134">
        <f>مراجع!$B$2-FH12</f>
        <v>0.33333333333333331</v>
      </c>
      <c r="FH12" s="135">
        <f t="shared" si="26"/>
        <v>0</v>
      </c>
      <c r="FI12" s="136"/>
      <c r="FJ12" s="132"/>
      <c r="FK12" s="133"/>
      <c r="FL12" s="134">
        <f>FN12-مراجع!$B$2</f>
        <v>-0.33333333333333331</v>
      </c>
      <c r="FM12" s="134">
        <f>مراجع!$B$2-FN12</f>
        <v>0.33333333333333331</v>
      </c>
      <c r="FN12" s="135">
        <f t="shared" si="27"/>
        <v>0</v>
      </c>
      <c r="FO12" s="136"/>
      <c r="FP12" s="132"/>
      <c r="FQ12" s="133"/>
      <c r="FR12" s="134">
        <f>FT12-مراجع!$B$2</f>
        <v>-0.33333333333333331</v>
      </c>
      <c r="FS12" s="134">
        <f>مراجع!$B$2-FT12</f>
        <v>0.33333333333333331</v>
      </c>
      <c r="FT12" s="135">
        <f t="shared" si="28"/>
        <v>0</v>
      </c>
      <c r="FU12" s="136"/>
      <c r="FV12" s="132"/>
      <c r="FW12" s="133"/>
      <c r="FX12" s="134">
        <f>FZ12-مراجع!$B$2</f>
        <v>-0.33333333333333331</v>
      </c>
      <c r="FY12" s="134">
        <f>مراجع!$B$2-FZ12</f>
        <v>0.33333333333333331</v>
      </c>
      <c r="FZ12" s="135">
        <f t="shared" si="29"/>
        <v>0</v>
      </c>
      <c r="GA12" s="136"/>
      <c r="GB12" s="132"/>
      <c r="GC12" s="133"/>
      <c r="GD12" s="134">
        <f>GF12-مراجع!$B$2</f>
        <v>-0.33333333333333331</v>
      </c>
      <c r="GE12" s="134">
        <f>مراجع!$B$2-GF12</f>
        <v>0.33333333333333331</v>
      </c>
      <c r="GF12" s="135">
        <f t="shared" si="30"/>
        <v>0</v>
      </c>
      <c r="GG12" s="136"/>
    </row>
    <row r="13" spans="1:189" s="126" customFormat="1" ht="35.1" customHeight="1" x14ac:dyDescent="0.35">
      <c r="A13" s="137" t="s">
        <v>41</v>
      </c>
      <c r="B13" s="138" t="s">
        <v>39</v>
      </c>
      <c r="C13" s="141" t="s">
        <v>45</v>
      </c>
      <c r="D13" s="132"/>
      <c r="E13" s="133"/>
      <c r="F13" s="134">
        <f>H13-مراجع!$B$2</f>
        <v>-0.33333333333333331</v>
      </c>
      <c r="G13" s="134">
        <f>مراجع!$B$2-H13</f>
        <v>0.33333333333333331</v>
      </c>
      <c r="H13" s="135">
        <f t="shared" si="0"/>
        <v>0</v>
      </c>
      <c r="I13" s="136"/>
      <c r="J13" s="132"/>
      <c r="K13" s="133"/>
      <c r="L13" s="134">
        <f>N13-مراجع!$B$2</f>
        <v>-0.33333333333333331</v>
      </c>
      <c r="M13" s="134">
        <f>مراجع!$B$2-N13</f>
        <v>0.33333333333333331</v>
      </c>
      <c r="N13" s="135">
        <f t="shared" si="1"/>
        <v>0</v>
      </c>
      <c r="O13" s="136"/>
      <c r="P13" s="132"/>
      <c r="Q13" s="133"/>
      <c r="R13" s="134">
        <f>T13-مراجع!$B$2</f>
        <v>-0.33333333333333331</v>
      </c>
      <c r="S13" s="134">
        <f>مراجع!$B$2-T13</f>
        <v>0.33333333333333331</v>
      </c>
      <c r="T13" s="135">
        <f t="shared" si="2"/>
        <v>0</v>
      </c>
      <c r="U13" s="136"/>
      <c r="V13" s="132"/>
      <c r="W13" s="133"/>
      <c r="X13" s="134">
        <f>Z13-مراجع!$B$2</f>
        <v>-0.33333333333333331</v>
      </c>
      <c r="Y13" s="134">
        <f>مراجع!$B$2-Z13</f>
        <v>0.33333333333333331</v>
      </c>
      <c r="Z13" s="135">
        <f t="shared" si="3"/>
        <v>0</v>
      </c>
      <c r="AA13" s="136"/>
      <c r="AB13" s="132"/>
      <c r="AC13" s="133"/>
      <c r="AD13" s="134">
        <f>AF13-مراجع!$B$2</f>
        <v>-0.33333333333333331</v>
      </c>
      <c r="AE13" s="134">
        <f>مراجع!$B$2-AF13</f>
        <v>0.33333333333333331</v>
      </c>
      <c r="AF13" s="135">
        <f t="shared" si="4"/>
        <v>0</v>
      </c>
      <c r="AG13" s="136"/>
      <c r="AH13" s="132"/>
      <c r="AI13" s="133"/>
      <c r="AJ13" s="134">
        <f>AL13-مراجع!$B$2</f>
        <v>-0.33333333333333331</v>
      </c>
      <c r="AK13" s="134">
        <f>مراجع!$B$2-AL13</f>
        <v>0.33333333333333331</v>
      </c>
      <c r="AL13" s="135">
        <f t="shared" si="5"/>
        <v>0</v>
      </c>
      <c r="AM13" s="136"/>
      <c r="AN13" s="132"/>
      <c r="AO13" s="133"/>
      <c r="AP13" s="134">
        <f>AR13-مراجع!$B$2</f>
        <v>-0.33333333333333331</v>
      </c>
      <c r="AQ13" s="134">
        <f>مراجع!$B$2-AR13</f>
        <v>0.33333333333333331</v>
      </c>
      <c r="AR13" s="135">
        <f t="shared" si="6"/>
        <v>0</v>
      </c>
      <c r="AS13" s="136"/>
      <c r="AT13" s="132"/>
      <c r="AU13" s="133"/>
      <c r="AV13" s="134">
        <f>AX13-مراجع!$B$2</f>
        <v>-0.33333333333333331</v>
      </c>
      <c r="AW13" s="134">
        <f>مراجع!$B$2-AX13</f>
        <v>0.33333333333333331</v>
      </c>
      <c r="AX13" s="135">
        <f t="shared" si="7"/>
        <v>0</v>
      </c>
      <c r="AY13" s="136"/>
      <c r="AZ13" s="132"/>
      <c r="BA13" s="133"/>
      <c r="BB13" s="134">
        <f>BD13-مراجع!$B$2</f>
        <v>-0.33333333333333331</v>
      </c>
      <c r="BC13" s="134">
        <f>مراجع!$B$2-BD13</f>
        <v>0.33333333333333331</v>
      </c>
      <c r="BD13" s="135">
        <f t="shared" si="8"/>
        <v>0</v>
      </c>
      <c r="BE13" s="136"/>
      <c r="BF13" s="132"/>
      <c r="BG13" s="133"/>
      <c r="BH13" s="134">
        <f>BJ13-مراجع!$B$2</f>
        <v>-0.33333333333333331</v>
      </c>
      <c r="BI13" s="134">
        <f>مراجع!$B$2-BJ13</f>
        <v>0.33333333333333331</v>
      </c>
      <c r="BJ13" s="135">
        <f t="shared" si="9"/>
        <v>0</v>
      </c>
      <c r="BK13" s="136"/>
      <c r="BL13" s="132"/>
      <c r="BM13" s="133"/>
      <c r="BN13" s="134">
        <f>BP13-مراجع!$B$2</f>
        <v>-0.33333333333333331</v>
      </c>
      <c r="BO13" s="134">
        <f>مراجع!$B$2-BP13</f>
        <v>0.33333333333333331</v>
      </c>
      <c r="BP13" s="135">
        <f t="shared" si="10"/>
        <v>0</v>
      </c>
      <c r="BQ13" s="136"/>
      <c r="BR13" s="132"/>
      <c r="BS13" s="133"/>
      <c r="BT13" s="134">
        <f>BV13-مراجع!$B$2</f>
        <v>-0.33333333333333331</v>
      </c>
      <c r="BU13" s="134">
        <f>مراجع!$B$2-BV13</f>
        <v>0.33333333333333331</v>
      </c>
      <c r="BV13" s="135">
        <f t="shared" si="11"/>
        <v>0</v>
      </c>
      <c r="BW13" s="136"/>
      <c r="BX13" s="132"/>
      <c r="BY13" s="133"/>
      <c r="BZ13" s="134">
        <f>CB13-مراجع!$B$2</f>
        <v>-0.33333333333333331</v>
      </c>
      <c r="CA13" s="134">
        <f>مراجع!$B$2-CB13</f>
        <v>0.33333333333333331</v>
      </c>
      <c r="CB13" s="135">
        <f t="shared" si="12"/>
        <v>0</v>
      </c>
      <c r="CC13" s="136"/>
      <c r="CD13" s="132"/>
      <c r="CE13" s="133"/>
      <c r="CF13" s="134">
        <f>CH13-مراجع!$B$2</f>
        <v>-0.33333333333333331</v>
      </c>
      <c r="CG13" s="134">
        <f>مراجع!$B$2-CH13</f>
        <v>0.33333333333333331</v>
      </c>
      <c r="CH13" s="135">
        <f t="shared" si="13"/>
        <v>0</v>
      </c>
      <c r="CI13" s="136"/>
      <c r="CJ13" s="132"/>
      <c r="CK13" s="133"/>
      <c r="CL13" s="134">
        <f>CN13-مراجع!$B$2</f>
        <v>-0.33333333333333331</v>
      </c>
      <c r="CM13" s="134">
        <f>مراجع!$B$2-CN13</f>
        <v>0.33333333333333331</v>
      </c>
      <c r="CN13" s="135">
        <f t="shared" si="14"/>
        <v>0</v>
      </c>
      <c r="CO13" s="136"/>
      <c r="CP13" s="132"/>
      <c r="CQ13" s="133"/>
      <c r="CR13" s="134">
        <f>CT13-مراجع!$B$2</f>
        <v>-0.33333333333333331</v>
      </c>
      <c r="CS13" s="134">
        <f>مراجع!$B$2-CT13</f>
        <v>0.33333333333333331</v>
      </c>
      <c r="CT13" s="135">
        <f t="shared" si="15"/>
        <v>0</v>
      </c>
      <c r="CU13" s="136"/>
      <c r="CV13" s="132"/>
      <c r="CW13" s="133"/>
      <c r="CX13" s="134">
        <f>CZ13-مراجع!$B$2</f>
        <v>-0.33333333333333331</v>
      </c>
      <c r="CY13" s="134">
        <f>مراجع!$B$2-CZ13</f>
        <v>0.33333333333333331</v>
      </c>
      <c r="CZ13" s="135">
        <f t="shared" si="16"/>
        <v>0</v>
      </c>
      <c r="DA13" s="136"/>
      <c r="DB13" s="132"/>
      <c r="DC13" s="133"/>
      <c r="DD13" s="134">
        <f>DF13-مراجع!$B$2</f>
        <v>-0.33333333333333331</v>
      </c>
      <c r="DE13" s="134">
        <f>مراجع!$B$2-DF13</f>
        <v>0.33333333333333331</v>
      </c>
      <c r="DF13" s="135">
        <f t="shared" si="17"/>
        <v>0</v>
      </c>
      <c r="DG13" s="136"/>
      <c r="DH13" s="132"/>
      <c r="DI13" s="133"/>
      <c r="DJ13" s="134">
        <f>DL13-مراجع!$B$2</f>
        <v>-0.33333333333333331</v>
      </c>
      <c r="DK13" s="134">
        <f>مراجع!$B$2-DL13</f>
        <v>0.33333333333333331</v>
      </c>
      <c r="DL13" s="135">
        <f t="shared" si="18"/>
        <v>0</v>
      </c>
      <c r="DM13" s="136"/>
      <c r="DN13" s="132"/>
      <c r="DO13" s="133"/>
      <c r="DP13" s="134">
        <f>DR13-مراجع!$B$2</f>
        <v>-0.33333333333333331</v>
      </c>
      <c r="DQ13" s="134">
        <f>مراجع!$B$2-DR13</f>
        <v>0.33333333333333331</v>
      </c>
      <c r="DR13" s="135">
        <f t="shared" si="19"/>
        <v>0</v>
      </c>
      <c r="DS13" s="136"/>
      <c r="DT13" s="132"/>
      <c r="DU13" s="133"/>
      <c r="DV13" s="134">
        <f>DX13-مراجع!$B$2</f>
        <v>-0.33333333333333331</v>
      </c>
      <c r="DW13" s="134">
        <f>مراجع!$B$2-DX13</f>
        <v>0.33333333333333331</v>
      </c>
      <c r="DX13" s="135">
        <f t="shared" si="20"/>
        <v>0</v>
      </c>
      <c r="DY13" s="136"/>
      <c r="DZ13" s="132"/>
      <c r="EA13" s="133"/>
      <c r="EB13" s="134">
        <f>ED13-مراجع!$B$2</f>
        <v>-0.33333333333333331</v>
      </c>
      <c r="EC13" s="134">
        <f>مراجع!$B$2-ED13</f>
        <v>0.33333333333333331</v>
      </c>
      <c r="ED13" s="135">
        <f t="shared" si="21"/>
        <v>0</v>
      </c>
      <c r="EE13" s="136"/>
      <c r="EF13" s="132"/>
      <c r="EG13" s="133"/>
      <c r="EH13" s="134">
        <f>EJ13-مراجع!$B$2</f>
        <v>-0.33333333333333331</v>
      </c>
      <c r="EI13" s="134">
        <f>مراجع!$B$2-EJ13</f>
        <v>0.33333333333333331</v>
      </c>
      <c r="EJ13" s="135">
        <f t="shared" si="22"/>
        <v>0</v>
      </c>
      <c r="EK13" s="136"/>
      <c r="EL13" s="132"/>
      <c r="EM13" s="133"/>
      <c r="EN13" s="134">
        <f>EP13-مراجع!$B$2</f>
        <v>-0.33333333333333331</v>
      </c>
      <c r="EO13" s="134">
        <f>مراجع!$B$2-EP13</f>
        <v>0.33333333333333331</v>
      </c>
      <c r="EP13" s="135">
        <f t="shared" si="23"/>
        <v>0</v>
      </c>
      <c r="EQ13" s="136"/>
      <c r="ER13" s="132"/>
      <c r="ES13" s="133"/>
      <c r="ET13" s="134">
        <f>EV13-مراجع!$B$2</f>
        <v>-0.33333333333333331</v>
      </c>
      <c r="EU13" s="134">
        <f>مراجع!$B$2-EV13</f>
        <v>0.33333333333333331</v>
      </c>
      <c r="EV13" s="135">
        <f t="shared" si="24"/>
        <v>0</v>
      </c>
      <c r="EW13" s="136"/>
      <c r="EX13" s="132"/>
      <c r="EY13" s="133"/>
      <c r="EZ13" s="134">
        <f>FB13-مراجع!$B$2</f>
        <v>-0.33333333333333331</v>
      </c>
      <c r="FA13" s="134">
        <f>مراجع!$B$2-FB13</f>
        <v>0.33333333333333331</v>
      </c>
      <c r="FB13" s="135">
        <f t="shared" si="25"/>
        <v>0</v>
      </c>
      <c r="FC13" s="136"/>
      <c r="FD13" s="132"/>
      <c r="FE13" s="133"/>
      <c r="FF13" s="134">
        <f>FH13-مراجع!$B$2</f>
        <v>-0.33333333333333331</v>
      </c>
      <c r="FG13" s="134">
        <f>مراجع!$B$2-FH13</f>
        <v>0.33333333333333331</v>
      </c>
      <c r="FH13" s="135">
        <f t="shared" si="26"/>
        <v>0</v>
      </c>
      <c r="FI13" s="136"/>
      <c r="FJ13" s="132"/>
      <c r="FK13" s="133"/>
      <c r="FL13" s="134">
        <f>FN13-مراجع!$B$2</f>
        <v>-0.33333333333333331</v>
      </c>
      <c r="FM13" s="134">
        <f>مراجع!$B$2-FN13</f>
        <v>0.33333333333333331</v>
      </c>
      <c r="FN13" s="135">
        <f t="shared" si="27"/>
        <v>0</v>
      </c>
      <c r="FO13" s="136"/>
      <c r="FP13" s="132"/>
      <c r="FQ13" s="133"/>
      <c r="FR13" s="134">
        <f>FT13-مراجع!$B$2</f>
        <v>-0.33333333333333331</v>
      </c>
      <c r="FS13" s="134">
        <f>مراجع!$B$2-FT13</f>
        <v>0.33333333333333331</v>
      </c>
      <c r="FT13" s="135">
        <f t="shared" si="28"/>
        <v>0</v>
      </c>
      <c r="FU13" s="136"/>
      <c r="FV13" s="132"/>
      <c r="FW13" s="133"/>
      <c r="FX13" s="134">
        <f>FZ13-مراجع!$B$2</f>
        <v>-0.33333333333333331</v>
      </c>
      <c r="FY13" s="134">
        <f>مراجع!$B$2-FZ13</f>
        <v>0.33333333333333331</v>
      </c>
      <c r="FZ13" s="135">
        <f t="shared" si="29"/>
        <v>0</v>
      </c>
      <c r="GA13" s="136"/>
      <c r="GB13" s="132"/>
      <c r="GC13" s="133"/>
      <c r="GD13" s="134">
        <f>GF13-مراجع!$B$2</f>
        <v>-0.33333333333333331</v>
      </c>
      <c r="GE13" s="134">
        <f>مراجع!$B$2-GF13</f>
        <v>0.33333333333333331</v>
      </c>
      <c r="GF13" s="135">
        <f t="shared" si="30"/>
        <v>0</v>
      </c>
      <c r="GG13" s="136"/>
    </row>
    <row r="14" spans="1:189" s="126" customFormat="1" ht="35.1" customHeight="1" x14ac:dyDescent="0.35">
      <c r="A14" s="137" t="s">
        <v>40</v>
      </c>
      <c r="B14" s="138" t="s">
        <v>39</v>
      </c>
      <c r="C14" s="141" t="s">
        <v>45</v>
      </c>
      <c r="D14" s="132"/>
      <c r="E14" s="133"/>
      <c r="F14" s="134">
        <f>H14-مراجع!$B$2</f>
        <v>-0.33333333333333331</v>
      </c>
      <c r="G14" s="134">
        <f>مراجع!$B$2-H14</f>
        <v>0.33333333333333331</v>
      </c>
      <c r="H14" s="135">
        <f t="shared" si="0"/>
        <v>0</v>
      </c>
      <c r="I14" s="136"/>
      <c r="J14" s="132"/>
      <c r="K14" s="133"/>
      <c r="L14" s="134">
        <f>N14-مراجع!$B$2</f>
        <v>-0.33333333333333331</v>
      </c>
      <c r="M14" s="134">
        <f>مراجع!$B$2-N14</f>
        <v>0.33333333333333331</v>
      </c>
      <c r="N14" s="135">
        <f t="shared" si="1"/>
        <v>0</v>
      </c>
      <c r="O14" s="136"/>
      <c r="P14" s="132"/>
      <c r="Q14" s="133"/>
      <c r="R14" s="134">
        <f>T14-مراجع!$B$2</f>
        <v>-0.33333333333333331</v>
      </c>
      <c r="S14" s="134">
        <f>مراجع!$B$2-T14</f>
        <v>0.33333333333333331</v>
      </c>
      <c r="T14" s="135">
        <f t="shared" si="2"/>
        <v>0</v>
      </c>
      <c r="U14" s="136"/>
      <c r="V14" s="132"/>
      <c r="W14" s="133"/>
      <c r="X14" s="134">
        <f>Z14-مراجع!$B$2</f>
        <v>-0.33333333333333331</v>
      </c>
      <c r="Y14" s="134">
        <f>مراجع!$B$2-Z14</f>
        <v>0.33333333333333331</v>
      </c>
      <c r="Z14" s="135">
        <f t="shared" si="3"/>
        <v>0</v>
      </c>
      <c r="AA14" s="136"/>
      <c r="AB14" s="132"/>
      <c r="AC14" s="133"/>
      <c r="AD14" s="134">
        <f>AF14-مراجع!$B$2</f>
        <v>-0.33333333333333331</v>
      </c>
      <c r="AE14" s="134">
        <f>مراجع!$B$2-AF14</f>
        <v>0.33333333333333331</v>
      </c>
      <c r="AF14" s="135">
        <f t="shared" si="4"/>
        <v>0</v>
      </c>
      <c r="AG14" s="136"/>
      <c r="AH14" s="132"/>
      <c r="AI14" s="133"/>
      <c r="AJ14" s="134">
        <f>AL14-مراجع!$B$2</f>
        <v>-0.33333333333333331</v>
      </c>
      <c r="AK14" s="134">
        <f>مراجع!$B$2-AL14</f>
        <v>0.33333333333333331</v>
      </c>
      <c r="AL14" s="135">
        <f t="shared" si="5"/>
        <v>0</v>
      </c>
      <c r="AM14" s="136"/>
      <c r="AN14" s="132"/>
      <c r="AO14" s="133"/>
      <c r="AP14" s="134">
        <f>AR14-مراجع!$B$2</f>
        <v>-0.33333333333333331</v>
      </c>
      <c r="AQ14" s="134">
        <f>مراجع!$B$2-AR14</f>
        <v>0.33333333333333331</v>
      </c>
      <c r="AR14" s="135">
        <f t="shared" si="6"/>
        <v>0</v>
      </c>
      <c r="AS14" s="136"/>
      <c r="AT14" s="132"/>
      <c r="AU14" s="133"/>
      <c r="AV14" s="134">
        <f>AX14-مراجع!$B$2</f>
        <v>-0.33333333333333331</v>
      </c>
      <c r="AW14" s="134">
        <f>مراجع!$B$2-AX14</f>
        <v>0.33333333333333331</v>
      </c>
      <c r="AX14" s="135">
        <f t="shared" si="7"/>
        <v>0</v>
      </c>
      <c r="AY14" s="136"/>
      <c r="AZ14" s="132"/>
      <c r="BA14" s="133"/>
      <c r="BB14" s="134">
        <f>BD14-مراجع!$B$2</f>
        <v>-0.33333333333333331</v>
      </c>
      <c r="BC14" s="134">
        <f>مراجع!$B$2-BD14</f>
        <v>0.33333333333333331</v>
      </c>
      <c r="BD14" s="135">
        <f t="shared" si="8"/>
        <v>0</v>
      </c>
      <c r="BE14" s="136"/>
      <c r="BF14" s="132"/>
      <c r="BG14" s="133"/>
      <c r="BH14" s="134">
        <f>BJ14-مراجع!$B$2</f>
        <v>-0.33333333333333331</v>
      </c>
      <c r="BI14" s="134">
        <f>مراجع!$B$2-BJ14</f>
        <v>0.33333333333333331</v>
      </c>
      <c r="BJ14" s="135">
        <f t="shared" si="9"/>
        <v>0</v>
      </c>
      <c r="BK14" s="136"/>
      <c r="BL14" s="132"/>
      <c r="BM14" s="133"/>
      <c r="BN14" s="134">
        <f>BP14-مراجع!$B$2</f>
        <v>-0.33333333333333331</v>
      </c>
      <c r="BO14" s="134">
        <f>مراجع!$B$2-BP14</f>
        <v>0.33333333333333331</v>
      </c>
      <c r="BP14" s="135">
        <f t="shared" si="10"/>
        <v>0</v>
      </c>
      <c r="BQ14" s="136"/>
      <c r="BR14" s="132"/>
      <c r="BS14" s="133"/>
      <c r="BT14" s="134">
        <f>BV14-مراجع!$B$2</f>
        <v>-0.33333333333333331</v>
      </c>
      <c r="BU14" s="134">
        <f>مراجع!$B$2-BV14</f>
        <v>0.33333333333333331</v>
      </c>
      <c r="BV14" s="135">
        <f t="shared" si="11"/>
        <v>0</v>
      </c>
      <c r="BW14" s="136"/>
      <c r="BX14" s="132"/>
      <c r="BY14" s="133"/>
      <c r="BZ14" s="134">
        <f>CB14-مراجع!$B$2</f>
        <v>-0.33333333333333331</v>
      </c>
      <c r="CA14" s="134">
        <f>مراجع!$B$2-CB14</f>
        <v>0.33333333333333331</v>
      </c>
      <c r="CB14" s="135">
        <f t="shared" si="12"/>
        <v>0</v>
      </c>
      <c r="CC14" s="136"/>
      <c r="CD14" s="132"/>
      <c r="CE14" s="133"/>
      <c r="CF14" s="134">
        <f>CH14-مراجع!$B$2</f>
        <v>-0.33333333333333331</v>
      </c>
      <c r="CG14" s="134">
        <f>مراجع!$B$2-CH14</f>
        <v>0.33333333333333331</v>
      </c>
      <c r="CH14" s="135">
        <f t="shared" si="13"/>
        <v>0</v>
      </c>
      <c r="CI14" s="136"/>
      <c r="CJ14" s="132"/>
      <c r="CK14" s="133"/>
      <c r="CL14" s="134">
        <f>CN14-مراجع!$B$2</f>
        <v>-0.33333333333333331</v>
      </c>
      <c r="CM14" s="134">
        <f>مراجع!$B$2-CN14</f>
        <v>0.33333333333333331</v>
      </c>
      <c r="CN14" s="135">
        <f t="shared" si="14"/>
        <v>0</v>
      </c>
      <c r="CO14" s="136"/>
      <c r="CP14" s="132"/>
      <c r="CQ14" s="133"/>
      <c r="CR14" s="134">
        <f>CT14-مراجع!$B$2</f>
        <v>-0.33333333333333331</v>
      </c>
      <c r="CS14" s="134">
        <f>مراجع!$B$2-CT14</f>
        <v>0.33333333333333331</v>
      </c>
      <c r="CT14" s="135">
        <f t="shared" si="15"/>
        <v>0</v>
      </c>
      <c r="CU14" s="136"/>
      <c r="CV14" s="132"/>
      <c r="CW14" s="133"/>
      <c r="CX14" s="134">
        <f>CZ14-مراجع!$B$2</f>
        <v>-0.33333333333333331</v>
      </c>
      <c r="CY14" s="134">
        <f>مراجع!$B$2-CZ14</f>
        <v>0.33333333333333331</v>
      </c>
      <c r="CZ14" s="135">
        <f t="shared" si="16"/>
        <v>0</v>
      </c>
      <c r="DA14" s="136"/>
      <c r="DB14" s="132"/>
      <c r="DC14" s="133"/>
      <c r="DD14" s="134">
        <f>DF14-مراجع!$B$2</f>
        <v>-0.33333333333333331</v>
      </c>
      <c r="DE14" s="134">
        <f>مراجع!$B$2-DF14</f>
        <v>0.33333333333333331</v>
      </c>
      <c r="DF14" s="135">
        <f t="shared" si="17"/>
        <v>0</v>
      </c>
      <c r="DG14" s="136"/>
      <c r="DH14" s="132"/>
      <c r="DI14" s="133"/>
      <c r="DJ14" s="134">
        <f>DL14-مراجع!$B$2</f>
        <v>-0.33333333333333331</v>
      </c>
      <c r="DK14" s="134">
        <f>مراجع!$B$2-DL14</f>
        <v>0.33333333333333331</v>
      </c>
      <c r="DL14" s="135">
        <f t="shared" si="18"/>
        <v>0</v>
      </c>
      <c r="DM14" s="136"/>
      <c r="DN14" s="132"/>
      <c r="DO14" s="133"/>
      <c r="DP14" s="134">
        <f>DR14-مراجع!$B$2</f>
        <v>-0.33333333333333331</v>
      </c>
      <c r="DQ14" s="134">
        <f>مراجع!$B$2-DR14</f>
        <v>0.33333333333333331</v>
      </c>
      <c r="DR14" s="135">
        <f t="shared" si="19"/>
        <v>0</v>
      </c>
      <c r="DS14" s="136"/>
      <c r="DT14" s="132"/>
      <c r="DU14" s="133"/>
      <c r="DV14" s="134">
        <f>DX14-مراجع!$B$2</f>
        <v>-0.33333333333333331</v>
      </c>
      <c r="DW14" s="134">
        <f>مراجع!$B$2-DX14</f>
        <v>0.33333333333333331</v>
      </c>
      <c r="DX14" s="135">
        <f t="shared" si="20"/>
        <v>0</v>
      </c>
      <c r="DY14" s="136"/>
      <c r="DZ14" s="132"/>
      <c r="EA14" s="133"/>
      <c r="EB14" s="134">
        <f>ED14-مراجع!$B$2</f>
        <v>-0.33333333333333331</v>
      </c>
      <c r="EC14" s="134">
        <f>مراجع!$B$2-ED14</f>
        <v>0.33333333333333331</v>
      </c>
      <c r="ED14" s="135">
        <f t="shared" si="21"/>
        <v>0</v>
      </c>
      <c r="EE14" s="136"/>
      <c r="EF14" s="132"/>
      <c r="EG14" s="133"/>
      <c r="EH14" s="134">
        <f>EJ14-مراجع!$B$2</f>
        <v>-0.33333333333333331</v>
      </c>
      <c r="EI14" s="134">
        <f>مراجع!$B$2-EJ14</f>
        <v>0.33333333333333331</v>
      </c>
      <c r="EJ14" s="135">
        <f t="shared" si="22"/>
        <v>0</v>
      </c>
      <c r="EK14" s="136"/>
      <c r="EL14" s="132"/>
      <c r="EM14" s="133"/>
      <c r="EN14" s="134">
        <f>EP14-مراجع!$B$2</f>
        <v>-0.33333333333333331</v>
      </c>
      <c r="EO14" s="134">
        <f>مراجع!$B$2-EP14</f>
        <v>0.33333333333333331</v>
      </c>
      <c r="EP14" s="135">
        <f t="shared" si="23"/>
        <v>0</v>
      </c>
      <c r="EQ14" s="136"/>
      <c r="ER14" s="132"/>
      <c r="ES14" s="133"/>
      <c r="ET14" s="134">
        <f>EV14-مراجع!$B$2</f>
        <v>-0.33333333333333331</v>
      </c>
      <c r="EU14" s="134">
        <f>مراجع!$B$2-EV14</f>
        <v>0.33333333333333331</v>
      </c>
      <c r="EV14" s="135">
        <f t="shared" si="24"/>
        <v>0</v>
      </c>
      <c r="EW14" s="136"/>
      <c r="EX14" s="132"/>
      <c r="EY14" s="133"/>
      <c r="EZ14" s="134">
        <f>FB14-مراجع!$B$2</f>
        <v>-0.33333333333333331</v>
      </c>
      <c r="FA14" s="134">
        <f>مراجع!$B$2-FB14</f>
        <v>0.33333333333333331</v>
      </c>
      <c r="FB14" s="135">
        <f t="shared" si="25"/>
        <v>0</v>
      </c>
      <c r="FC14" s="136"/>
      <c r="FD14" s="132"/>
      <c r="FE14" s="133"/>
      <c r="FF14" s="134">
        <f>FH14-مراجع!$B$2</f>
        <v>-0.33333333333333331</v>
      </c>
      <c r="FG14" s="134">
        <f>مراجع!$B$2-FH14</f>
        <v>0.33333333333333331</v>
      </c>
      <c r="FH14" s="135">
        <f t="shared" si="26"/>
        <v>0</v>
      </c>
      <c r="FI14" s="136"/>
      <c r="FJ14" s="132"/>
      <c r="FK14" s="133"/>
      <c r="FL14" s="134">
        <f>FN14-مراجع!$B$2</f>
        <v>-0.33333333333333331</v>
      </c>
      <c r="FM14" s="134">
        <f>مراجع!$B$2-FN14</f>
        <v>0.33333333333333331</v>
      </c>
      <c r="FN14" s="135">
        <f t="shared" si="27"/>
        <v>0</v>
      </c>
      <c r="FO14" s="136"/>
      <c r="FP14" s="132"/>
      <c r="FQ14" s="133"/>
      <c r="FR14" s="134">
        <f>FT14-مراجع!$B$2</f>
        <v>-0.33333333333333331</v>
      </c>
      <c r="FS14" s="134">
        <f>مراجع!$B$2-FT14</f>
        <v>0.33333333333333331</v>
      </c>
      <c r="FT14" s="135">
        <f t="shared" si="28"/>
        <v>0</v>
      </c>
      <c r="FU14" s="136"/>
      <c r="FV14" s="132"/>
      <c r="FW14" s="133"/>
      <c r="FX14" s="134">
        <f>FZ14-مراجع!$B$2</f>
        <v>-0.33333333333333331</v>
      </c>
      <c r="FY14" s="134">
        <f>مراجع!$B$2-FZ14</f>
        <v>0.33333333333333331</v>
      </c>
      <c r="FZ14" s="135">
        <f t="shared" si="29"/>
        <v>0</v>
      </c>
      <c r="GA14" s="136"/>
      <c r="GB14" s="132"/>
      <c r="GC14" s="133"/>
      <c r="GD14" s="134">
        <f>GF14-مراجع!$B$2</f>
        <v>-0.33333333333333331</v>
      </c>
      <c r="GE14" s="134">
        <f>مراجع!$B$2-GF14</f>
        <v>0.33333333333333331</v>
      </c>
      <c r="GF14" s="135">
        <f t="shared" si="30"/>
        <v>0</v>
      </c>
      <c r="GG14" s="136"/>
    </row>
  </sheetData>
  <mergeCells count="64">
    <mergeCell ref="A1:B2"/>
    <mergeCell ref="C1:C2"/>
    <mergeCell ref="J1:O1"/>
    <mergeCell ref="DB2:DG2"/>
    <mergeCell ref="DH2:DM2"/>
    <mergeCell ref="D1:I1"/>
    <mergeCell ref="BR1:BW1"/>
    <mergeCell ref="CD1:CI1"/>
    <mergeCell ref="BX1:CC1"/>
    <mergeCell ref="D2:I2"/>
    <mergeCell ref="J2:O2"/>
    <mergeCell ref="P2:U2"/>
    <mergeCell ref="V2:AA2"/>
    <mergeCell ref="BF2:BK2"/>
    <mergeCell ref="AB2:AG2"/>
    <mergeCell ref="AH2:AM2"/>
    <mergeCell ref="P1:U1"/>
    <mergeCell ref="BF1:BK1"/>
    <mergeCell ref="BL1:BQ1"/>
    <mergeCell ref="AB1:AG1"/>
    <mergeCell ref="AH1:AM1"/>
    <mergeCell ref="AN1:AS1"/>
    <mergeCell ref="V1:AA1"/>
    <mergeCell ref="AT1:AY1"/>
    <mergeCell ref="AZ1:BE1"/>
    <mergeCell ref="AN2:AS2"/>
    <mergeCell ref="AT2:AY2"/>
    <mergeCell ref="AZ2:BE2"/>
    <mergeCell ref="CJ2:CO2"/>
    <mergeCell ref="FD1:FI1"/>
    <mergeCell ref="CJ1:CO1"/>
    <mergeCell ref="DN2:DS2"/>
    <mergeCell ref="DB1:DG1"/>
    <mergeCell ref="DN1:DS1"/>
    <mergeCell ref="BL2:BQ2"/>
    <mergeCell ref="BR2:BW2"/>
    <mergeCell ref="BX2:CC2"/>
    <mergeCell ref="CD2:CI2"/>
    <mergeCell ref="EL2:EQ2"/>
    <mergeCell ref="DZ1:EE1"/>
    <mergeCell ref="DT1:DY1"/>
    <mergeCell ref="CV1:DA1"/>
    <mergeCell ref="CP1:CU1"/>
    <mergeCell ref="DH1:DM1"/>
    <mergeCell ref="CV2:DA2"/>
    <mergeCell ref="CP2:CU2"/>
    <mergeCell ref="DT2:DY2"/>
    <mergeCell ref="DZ2:EE2"/>
    <mergeCell ref="EF2:EK2"/>
    <mergeCell ref="FV2:GA2"/>
    <mergeCell ref="GB2:GG2"/>
    <mergeCell ref="ER2:EW2"/>
    <mergeCell ref="EX2:FC2"/>
    <mergeCell ref="FD2:FI2"/>
    <mergeCell ref="FJ2:FO2"/>
    <mergeCell ref="FP2:FU2"/>
    <mergeCell ref="FV1:GA1"/>
    <mergeCell ref="GB1:GG1"/>
    <mergeCell ref="EF1:EK1"/>
    <mergeCell ref="EL1:EQ1"/>
    <mergeCell ref="ER1:EW1"/>
    <mergeCell ref="EX1:FC1"/>
    <mergeCell ref="FP1:FU1"/>
    <mergeCell ref="FJ1:FO1"/>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9DF11187-EB0F-4052-864E-8CA3E97D56D2}">
          <x14:formula1>
            <xm:f>مراجع!$A$4:$A$34</xm:f>
          </x14:formula1>
          <xm:sqref>D1:GG1</xm:sqref>
        </x14:dataValidation>
        <x14:dataValidation type="list" allowBlank="1" showInputMessage="1" showErrorMessage="1" xr:uid="{6AE8885A-8173-4A79-85FA-97F58D3A8380}">
          <x14:formula1>
            <xm:f>مراجع!$B$3:$K$3</xm:f>
          </x14:formula1>
          <xm:sqref>I4:I14 O4:O14 U4:U14 AA4:AA14 AG4:AG14 AM4:AM14 AS4:AS14 AY4:AY14 BE4:BE14 BK4:BK14 BQ4:BQ14 BW4:BW14 CC4:CC14 CI4:CI14 CO4:CO14 CU4:CU14 DA4:DA14 DG4:DG14 DM4:DM14 DS4:DS14 DY4:DY14 EE4:EE14 EK4:EK14 EQ4:EQ14 EW4:EW14 FC4:FC14 FI4:FI14 FO4:FO14 FU4:FU14 GA4:GA14 GG4:GG14</xm:sqref>
        </x14:dataValidation>
        <x14:dataValidation type="list" allowBlank="1" showInputMessage="1" showErrorMessage="1" xr:uid="{D336D5BD-CCF4-4F14-99D1-AAA00411DC59}">
          <x14:formula1>
            <xm:f>مراجع!$E$2:$K$2</xm:f>
          </x14:formula1>
          <xm:sqref>D2 J2 P2 V2 AB2 AH2 AN2 AT2 AZ2 BF2 BL2 BR2 BX2 CD2 CJ2 CP2 CV2 DB2 DH2 DN2 DT2 DZ2 EF2 EL2 ER2 EX2 FD2 FJ2 FP2 FV2 GB2</xm:sqref>
        </x14:dataValidation>
        <x14:dataValidation type="list" allowBlank="1" showInputMessage="1" showErrorMessage="1" xr:uid="{8970B912-E148-43C4-BA28-27B96E152641}">
          <x14:formula1>
            <xm:f>مراجع!$B$4:$B$15</xm:f>
          </x14:formula1>
          <xm:sqref>C1:C2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J82"/>
  <sheetViews>
    <sheetView rightToLeft="1" tabSelected="1" zoomScaleNormal="100" workbookViewId="0">
      <selection activeCell="AF30" sqref="AF30"/>
    </sheetView>
  </sheetViews>
  <sheetFormatPr defaultColWidth="10.75" defaultRowHeight="12" x14ac:dyDescent="0.2"/>
  <cols>
    <col min="1" max="1" width="1.875" style="2" customWidth="1"/>
    <col min="2" max="2" width="6.75" style="2" customWidth="1"/>
    <col min="3" max="3" width="11" style="2" customWidth="1"/>
    <col min="4" max="4" width="8.125" style="2" bestFit="1" customWidth="1"/>
    <col min="5" max="5" width="9.875" style="2" bestFit="1" customWidth="1"/>
    <col min="6" max="6" width="12" style="2" bestFit="1" customWidth="1"/>
    <col min="7" max="8" width="10.75" style="2" customWidth="1"/>
    <col min="9" max="9" width="6" style="2" bestFit="1" customWidth="1"/>
    <col min="10" max="10" width="5.75" style="2" bestFit="1" customWidth="1"/>
    <col min="11" max="11" width="6.75" style="2" bestFit="1" customWidth="1"/>
    <col min="12" max="12" width="4.75" style="2" bestFit="1" customWidth="1"/>
    <col min="13" max="13" width="5.75" style="2" bestFit="1" customWidth="1"/>
    <col min="14" max="14" width="6.75" style="2" customWidth="1"/>
    <col min="15" max="15" width="6.375" style="2" customWidth="1"/>
    <col min="16" max="18" width="6.75" style="2" customWidth="1"/>
    <col min="19" max="19" width="11" style="16" customWidth="1"/>
    <col min="20" max="21" width="5.625" style="2" bestFit="1" customWidth="1"/>
    <col min="22" max="22" width="6.75" style="2" bestFit="1" customWidth="1"/>
    <col min="23" max="23" width="10.875" style="2" bestFit="1" customWidth="1"/>
    <col min="24" max="24" width="4.875" style="2" bestFit="1" customWidth="1"/>
    <col min="25" max="25" width="7" style="2" bestFit="1" customWidth="1"/>
    <col min="26" max="27" width="5.625" style="2" bestFit="1" customWidth="1"/>
    <col min="28" max="28" width="6.75" style="2" bestFit="1" customWidth="1"/>
    <col min="29" max="29" width="10.875" style="2" bestFit="1" customWidth="1"/>
    <col min="30" max="30" width="4.875" style="2" bestFit="1" customWidth="1"/>
    <col min="31" max="31" width="7" style="2" bestFit="1" customWidth="1"/>
    <col min="32" max="33" width="5.625" style="2" bestFit="1" customWidth="1"/>
    <col min="34" max="34" width="6.75" style="2" bestFit="1" customWidth="1"/>
    <col min="35" max="35" width="10.875" style="2" bestFit="1" customWidth="1"/>
    <col min="36" max="36" width="4.875" style="2" bestFit="1" customWidth="1"/>
    <col min="37" max="37" width="7" style="2" bestFit="1" customWidth="1"/>
    <col min="38" max="39" width="5.625" style="2" bestFit="1" customWidth="1"/>
    <col min="40" max="40" width="6.75" style="2" bestFit="1" customWidth="1"/>
    <col min="41" max="41" width="10.875" style="2" bestFit="1" customWidth="1"/>
    <col min="42" max="42" width="4.875" style="2" bestFit="1" customWidth="1"/>
    <col min="43" max="43" width="7" style="2" bestFit="1" customWidth="1"/>
    <col min="44" max="45" width="5.625" style="2" bestFit="1" customWidth="1"/>
    <col min="46" max="46" width="6.75" style="2" bestFit="1" customWidth="1"/>
    <col min="47" max="47" width="10.875" style="2" bestFit="1" customWidth="1"/>
    <col min="48" max="48" width="4.875" style="2" bestFit="1" customWidth="1"/>
    <col min="49" max="49" width="7" style="2" bestFit="1" customWidth="1"/>
    <col min="50" max="51" width="5.625" style="2" bestFit="1" customWidth="1"/>
    <col min="52" max="52" width="6.75" style="2" bestFit="1" customWidth="1"/>
    <col min="53" max="53" width="10.875" style="2" bestFit="1" customWidth="1"/>
    <col min="54" max="54" width="4.875" style="2" bestFit="1" customWidth="1"/>
    <col min="55" max="55" width="7" style="2" bestFit="1" customWidth="1"/>
    <col min="56" max="57" width="5.625" style="2" bestFit="1" customWidth="1"/>
    <col min="58" max="58" width="6.75" style="2" bestFit="1" customWidth="1"/>
    <col min="59" max="59" width="10.875" style="2" bestFit="1" customWidth="1"/>
    <col min="60" max="60" width="4.875" style="2" bestFit="1" customWidth="1"/>
    <col min="61" max="61" width="7" style="2" bestFit="1" customWidth="1"/>
    <col min="62" max="63" width="5.625" style="2" bestFit="1" customWidth="1"/>
    <col min="64" max="64" width="6.75" style="2" bestFit="1" customWidth="1"/>
    <col min="65" max="65" width="10.875" style="2" bestFit="1" customWidth="1"/>
    <col min="66" max="66" width="4.875" style="2" bestFit="1" customWidth="1"/>
    <col min="67" max="67" width="7" style="2" bestFit="1" customWidth="1"/>
    <col min="68" max="69" width="5.625" style="2" bestFit="1" customWidth="1"/>
    <col min="70" max="70" width="6.75" style="2" bestFit="1" customWidth="1"/>
    <col min="71" max="71" width="10.875" style="2" bestFit="1" customWidth="1"/>
    <col min="72" max="72" width="4.875" style="2" bestFit="1" customWidth="1"/>
    <col min="73" max="73" width="7" style="2" bestFit="1" customWidth="1"/>
    <col min="74" max="75" width="5.625" style="2" bestFit="1" customWidth="1"/>
    <col min="76" max="76" width="6.75" style="2" bestFit="1" customWidth="1"/>
    <col min="77" max="77" width="10.875" style="2" bestFit="1" customWidth="1"/>
    <col min="78" max="78" width="4.875" style="2" bestFit="1" customWidth="1"/>
    <col min="79" max="79" width="7" style="2" bestFit="1" customWidth="1"/>
    <col min="80" max="81" width="5.625" style="2" bestFit="1" customWidth="1"/>
    <col min="82" max="82" width="6.75" style="2" bestFit="1" customWidth="1"/>
    <col min="83" max="83" width="10.875" style="2" bestFit="1" customWidth="1"/>
    <col min="84" max="84" width="4.875" style="2" bestFit="1" customWidth="1"/>
    <col min="85" max="85" width="7" style="2" bestFit="1" customWidth="1"/>
    <col min="86" max="87" width="5.625" style="2" bestFit="1" customWidth="1"/>
    <col min="88" max="88" width="6.75" style="2" bestFit="1" customWidth="1"/>
    <col min="89" max="89" width="10.875" style="2" bestFit="1" customWidth="1"/>
    <col min="90" max="90" width="4.875" style="2" bestFit="1" customWidth="1"/>
    <col min="91" max="91" width="7" style="2" bestFit="1" customWidth="1"/>
    <col min="92" max="93" width="5.625" style="2" bestFit="1" customWidth="1"/>
    <col min="94" max="94" width="6.75" style="2" bestFit="1" customWidth="1"/>
    <col min="95" max="95" width="10.875" style="2" bestFit="1" customWidth="1"/>
    <col min="96" max="96" width="4.875" style="2" bestFit="1" customWidth="1"/>
    <col min="97" max="97" width="7" style="2" bestFit="1" customWidth="1"/>
    <col min="98" max="99" width="5.625" style="2" bestFit="1" customWidth="1"/>
    <col min="100" max="100" width="6.75" style="2" bestFit="1" customWidth="1"/>
    <col min="101" max="101" width="10.875" style="2" bestFit="1" customWidth="1"/>
    <col min="102" max="102" width="4.875" style="2" bestFit="1" customWidth="1"/>
    <col min="103" max="103" width="7" style="2" bestFit="1" customWidth="1"/>
    <col min="104" max="105" width="5.625" style="2" bestFit="1" customWidth="1"/>
    <col min="106" max="106" width="6.75" style="2" bestFit="1" customWidth="1"/>
    <col min="107" max="107" width="10.875" style="2" bestFit="1" customWidth="1"/>
    <col min="108" max="108" width="4.875" style="2" bestFit="1" customWidth="1"/>
    <col min="109" max="109" width="7" style="2" bestFit="1" customWidth="1"/>
    <col min="110" max="111" width="5.625" style="2" bestFit="1" customWidth="1"/>
    <col min="112" max="112" width="6.75" style="2" bestFit="1" customWidth="1"/>
    <col min="113" max="113" width="10.875" style="2" bestFit="1" customWidth="1"/>
    <col min="114" max="114" width="4.875" style="2" bestFit="1" customWidth="1"/>
    <col min="115" max="115" width="7" style="2" bestFit="1" customWidth="1"/>
    <col min="116" max="117" width="5.625" style="2" bestFit="1" customWidth="1"/>
    <col min="118" max="118" width="6.75" style="2" bestFit="1" customWidth="1"/>
    <col min="119" max="119" width="10.875" style="2" bestFit="1" customWidth="1"/>
    <col min="120" max="120" width="4.875" style="2" bestFit="1" customWidth="1"/>
    <col min="121" max="121" width="7" style="2" bestFit="1" customWidth="1"/>
    <col min="122" max="123" width="5.625" style="2" bestFit="1" customWidth="1"/>
    <col min="124" max="124" width="6.75" style="2" bestFit="1" customWidth="1"/>
    <col min="125" max="125" width="10.875" style="2" bestFit="1" customWidth="1"/>
    <col min="126" max="126" width="4.875" style="2" bestFit="1" customWidth="1"/>
    <col min="127" max="127" width="7" style="2" bestFit="1" customWidth="1"/>
    <col min="128" max="129" width="5.625" style="2" bestFit="1" customWidth="1"/>
    <col min="130" max="130" width="6.75" style="2" bestFit="1" customWidth="1"/>
    <col min="131" max="131" width="10.875" style="2" bestFit="1" customWidth="1"/>
    <col min="132" max="132" width="4.875" style="2" bestFit="1" customWidth="1"/>
    <col min="133" max="133" width="7" style="2" bestFit="1" customWidth="1"/>
    <col min="134" max="135" width="5.625" style="2" bestFit="1" customWidth="1"/>
    <col min="136" max="136" width="6.75" style="2" bestFit="1" customWidth="1"/>
    <col min="137" max="137" width="10.875" style="2" bestFit="1" customWidth="1"/>
    <col min="138" max="138" width="4.875" style="2" bestFit="1" customWidth="1"/>
    <col min="139" max="139" width="7" style="2" bestFit="1" customWidth="1"/>
    <col min="140" max="141" width="5.625" style="2" bestFit="1" customWidth="1"/>
    <col min="142" max="142" width="6.75" style="2" bestFit="1" customWidth="1"/>
    <col min="143" max="143" width="10.875" style="2" bestFit="1" customWidth="1"/>
    <col min="144" max="144" width="4.875" style="2" bestFit="1" customWidth="1"/>
    <col min="145" max="145" width="7" style="2" bestFit="1" customWidth="1"/>
    <col min="146" max="147" width="5.625" style="2" bestFit="1" customWidth="1"/>
    <col min="148" max="148" width="6.75" style="2" bestFit="1" customWidth="1"/>
    <col min="149" max="149" width="10.875" style="2" bestFit="1" customWidth="1"/>
    <col min="150" max="150" width="4.875" style="2" bestFit="1" customWidth="1"/>
    <col min="151" max="151" width="7" style="2" bestFit="1" customWidth="1"/>
    <col min="152" max="153" width="5.625" style="2" bestFit="1" customWidth="1"/>
    <col min="154" max="154" width="6.75" style="2" bestFit="1" customWidth="1"/>
    <col min="155" max="155" width="10.875" style="2" bestFit="1" customWidth="1"/>
    <col min="156" max="156" width="4.875" style="2" bestFit="1" customWidth="1"/>
    <col min="157" max="157" width="7" style="2" bestFit="1" customWidth="1"/>
    <col min="158" max="159" width="5.625" style="2" bestFit="1" customWidth="1"/>
    <col min="160" max="160" width="6.75" style="2" bestFit="1" customWidth="1"/>
    <col min="161" max="161" width="10.875" style="2" bestFit="1" customWidth="1"/>
    <col min="162" max="162" width="4.875" style="2" bestFit="1" customWidth="1"/>
    <col min="163" max="163" width="7" style="2" bestFit="1" customWidth="1"/>
    <col min="164" max="165" width="5.625" style="2" bestFit="1" customWidth="1"/>
    <col min="166" max="166" width="6.75" style="2" bestFit="1" customWidth="1"/>
    <col min="167" max="167" width="10.875" style="2" bestFit="1" customWidth="1"/>
    <col min="168" max="168" width="4.875" style="2" bestFit="1" customWidth="1"/>
    <col min="169" max="169" width="7" style="2" bestFit="1" customWidth="1"/>
    <col min="170" max="171" width="5.625" style="2" bestFit="1" customWidth="1"/>
    <col min="172" max="172" width="6.75" style="2" bestFit="1" customWidth="1"/>
    <col min="173" max="173" width="10.875" style="2" bestFit="1" customWidth="1"/>
    <col min="174" max="174" width="4.875" style="2" bestFit="1" customWidth="1"/>
    <col min="175" max="175" width="7" style="2" bestFit="1" customWidth="1"/>
    <col min="176" max="177" width="5.625" style="2" bestFit="1" customWidth="1"/>
    <col min="178" max="178" width="6.75" style="2" bestFit="1" customWidth="1"/>
    <col min="179" max="179" width="10.875" style="2" bestFit="1" customWidth="1"/>
    <col min="180" max="180" width="4.875" style="2" bestFit="1" customWidth="1"/>
    <col min="181" max="181" width="7" style="2" bestFit="1" customWidth="1"/>
    <col min="182" max="183" width="5.625" style="2" bestFit="1" customWidth="1"/>
    <col min="184" max="184" width="6.75" style="2" bestFit="1" customWidth="1"/>
    <col min="185" max="185" width="10.875" style="2" bestFit="1" customWidth="1"/>
    <col min="186" max="186" width="4.875" style="2" bestFit="1" customWidth="1"/>
    <col min="187" max="187" width="7" style="2" bestFit="1" customWidth="1"/>
    <col min="188" max="189" width="5.625" style="2" bestFit="1" customWidth="1"/>
    <col min="190" max="190" width="6.75" style="2" bestFit="1" customWidth="1"/>
    <col min="191" max="191" width="10.875" style="2" bestFit="1" customWidth="1"/>
    <col min="192" max="192" width="4.875" style="2" bestFit="1" customWidth="1"/>
    <col min="193" max="193" width="7" style="2" bestFit="1" customWidth="1"/>
    <col min="194" max="195" width="5.625" style="2" bestFit="1" customWidth="1"/>
    <col min="196" max="196" width="6.75" style="2" bestFit="1" customWidth="1"/>
    <col min="197" max="197" width="10.875" style="2" bestFit="1" customWidth="1"/>
    <col min="198" max="198" width="4.875" style="2" bestFit="1" customWidth="1"/>
    <col min="199" max="199" width="7" style="2" bestFit="1" customWidth="1"/>
    <col min="200" max="201" width="5.625" style="2" bestFit="1" customWidth="1"/>
    <col min="202" max="202" width="6.75" style="2" bestFit="1" customWidth="1"/>
    <col min="203" max="203" width="10.875" style="2" bestFit="1" customWidth="1"/>
    <col min="204" max="204" width="4.875" style="2" bestFit="1" customWidth="1"/>
    <col min="205" max="205" width="7" style="2" bestFit="1" customWidth="1"/>
    <col min="206" max="16384" width="10.75" style="2"/>
  </cols>
  <sheetData>
    <row r="1" spans="1:322" ht="17.25" customHeight="1" x14ac:dyDescent="0.2">
      <c r="A1" s="69"/>
      <c r="B1" s="172" t="s">
        <v>0</v>
      </c>
      <c r="C1" s="173"/>
      <c r="D1" s="173"/>
      <c r="E1" s="187"/>
      <c r="F1" s="187"/>
      <c r="G1" s="173" t="s">
        <v>82</v>
      </c>
      <c r="H1" s="173"/>
      <c r="I1" s="173"/>
      <c r="J1" s="174" t="s">
        <v>1</v>
      </c>
      <c r="K1" s="174"/>
      <c r="L1" s="174"/>
      <c r="M1" s="187" t="s">
        <v>2</v>
      </c>
      <c r="N1" s="187"/>
      <c r="O1" s="187"/>
      <c r="P1" s="174" t="s">
        <v>82</v>
      </c>
      <c r="Q1" s="174"/>
      <c r="R1" s="197"/>
      <c r="S1" s="2"/>
    </row>
    <row r="2" spans="1:322" ht="24.75" customHeight="1" thickBot="1" x14ac:dyDescent="0.25">
      <c r="A2" s="69"/>
      <c r="B2" s="185" t="s">
        <v>4</v>
      </c>
      <c r="C2" s="186"/>
      <c r="D2" s="186"/>
      <c r="E2" s="188"/>
      <c r="F2" s="188"/>
      <c r="G2" s="184" t="s">
        <v>42</v>
      </c>
      <c r="H2" s="184"/>
      <c r="I2" s="184"/>
      <c r="J2" s="175" t="s">
        <v>5</v>
      </c>
      <c r="K2" s="175"/>
      <c r="L2" s="175"/>
      <c r="M2" s="188"/>
      <c r="N2" s="188"/>
      <c r="O2" s="188"/>
      <c r="P2" s="162" t="s">
        <v>82</v>
      </c>
      <c r="Q2" s="162"/>
      <c r="R2" s="163"/>
      <c r="S2" s="2"/>
    </row>
    <row r="3" spans="1:322" s="8" customFormat="1" ht="28.5" thickBot="1" x14ac:dyDescent="0.3">
      <c r="A3" s="69"/>
      <c r="B3" s="178" t="s">
        <v>74</v>
      </c>
      <c r="C3" s="179"/>
      <c r="D3" s="179"/>
      <c r="E3" s="179"/>
      <c r="F3" s="179"/>
      <c r="G3" s="179"/>
      <c r="H3" s="179"/>
      <c r="I3" s="179"/>
      <c r="J3" s="179"/>
      <c r="K3" s="179"/>
      <c r="L3" s="179"/>
      <c r="M3" s="179"/>
      <c r="N3" s="179"/>
      <c r="O3" s="179"/>
      <c r="P3" s="179"/>
      <c r="Q3" s="179"/>
      <c r="R3" s="180"/>
    </row>
    <row r="4" spans="1:322" s="8" customFormat="1" ht="18" x14ac:dyDescent="0.25">
      <c r="A4" s="69"/>
      <c r="B4" s="37" t="s">
        <v>15</v>
      </c>
      <c r="C4" s="181" t="s">
        <v>16</v>
      </c>
      <c r="D4" s="182"/>
      <c r="E4" s="183"/>
      <c r="F4" s="189" t="s">
        <v>17</v>
      </c>
      <c r="G4" s="190"/>
      <c r="H4" s="190"/>
      <c r="I4" s="191"/>
      <c r="J4" s="181" t="s">
        <v>18</v>
      </c>
      <c r="K4" s="182"/>
      <c r="L4" s="183"/>
      <c r="M4" s="192" t="s">
        <v>79</v>
      </c>
      <c r="N4" s="193"/>
      <c r="O4" s="176" t="s">
        <v>72</v>
      </c>
      <c r="P4" s="194" t="s">
        <v>6</v>
      </c>
      <c r="Q4" s="195"/>
      <c r="R4" s="196"/>
      <c r="S4" s="19"/>
    </row>
    <row r="5" spans="1:322" ht="24" x14ac:dyDescent="0.2">
      <c r="A5" s="69"/>
      <c r="B5" s="38" t="s">
        <v>19</v>
      </c>
      <c r="C5" s="24" t="s">
        <v>20</v>
      </c>
      <c r="D5" s="21" t="s">
        <v>21</v>
      </c>
      <c r="E5" s="25" t="s">
        <v>43</v>
      </c>
      <c r="F5" s="41" t="s">
        <v>64</v>
      </c>
      <c r="G5" s="32" t="s">
        <v>46</v>
      </c>
      <c r="H5" s="33" t="s">
        <v>47</v>
      </c>
      <c r="I5" s="42" t="s">
        <v>73</v>
      </c>
      <c r="J5" s="24" t="s">
        <v>7</v>
      </c>
      <c r="K5" s="21" t="s">
        <v>22</v>
      </c>
      <c r="L5" s="84" t="s">
        <v>78</v>
      </c>
      <c r="M5" s="77" t="s">
        <v>7</v>
      </c>
      <c r="N5" s="47" t="s">
        <v>22</v>
      </c>
      <c r="O5" s="177"/>
      <c r="P5" s="50" t="s">
        <v>14</v>
      </c>
      <c r="Q5" s="34" t="s">
        <v>8</v>
      </c>
      <c r="R5" s="51" t="s">
        <v>50</v>
      </c>
    </row>
    <row r="6" spans="1:322" ht="12.75" x14ac:dyDescent="0.2">
      <c r="B6" s="39">
        <v>1</v>
      </c>
      <c r="C6" s="26" t="s">
        <v>26</v>
      </c>
      <c r="D6" s="22" t="s">
        <v>27</v>
      </c>
      <c r="E6" s="27" t="s">
        <v>44</v>
      </c>
      <c r="F6" s="43">
        <f>SUM('كـشـف حضور يومي'!H4,'كـشـف حضور يومي'!N4,'كـشـف حضور يومي'!T4,'كـشـف حضور يومي'!Z4,'كـشـف حضور يومي'!AF4,'كـشـف حضور يومي'!AL4,'كـشـف حضور يومي'!AR4,'كـشـف حضور يومي'!AX4,'كـشـف حضور يومي'!BD4,'كـشـف حضور يومي'!BJ4,'كـشـف حضور يومي'!BP4,'كـشـف حضور يومي'!BV4,'كـشـف حضور يومي'!CB4,'كـشـف حضور يومي'!CH4,'كـشـف حضور يومي'!CN4,'كـشـف حضور يومي'!CT4,'كـشـف حضور يومي'!CZ4,'كـشـف حضور يومي'!DF4,'كـشـف حضور يومي'!DL4,'كـشـف حضور يومي'!DR4,'كـشـف حضور يومي'!DX4,'كـشـف حضور يومي'!ED4,'كـشـف حضور يومي'!EJ4,'كـشـف حضور يومي'!EP4,'كـشـف حضور يومي'!EV4,'كـشـف حضور يومي'!FB4,'كـشـف حضور يومي'!FH4,'كـشـف حضور يومي'!FN4,'كـشـف حضور يومي'!FT4,'كـشـف حضور يومي'!FZ4,'كـشـف حضور يومي'!GF4)</f>
        <v>8.3333333333333304</v>
      </c>
      <c r="G6" s="35">
        <f>F6-مراجع!$A$2</f>
        <v>-0.3333333333333357</v>
      </c>
      <c r="H6" s="35">
        <f>مراجع!$A$2-F6</f>
        <v>0.3333333333333357</v>
      </c>
      <c r="I6" s="82">
        <f>COUNTIFS('كـشـف حضور يومي'!D4:GG4, "*حضور*")</f>
        <v>0</v>
      </c>
      <c r="J6" s="48">
        <f>COUNTIF('كـشـف حضور يومي'!D4:GG4,مراجع!$D$3)</f>
        <v>0</v>
      </c>
      <c r="K6" s="78">
        <f>COUNTIF('كـشـف حضور يومي'!D4:GG4,مراجع!$E$3)</f>
        <v>0</v>
      </c>
      <c r="L6" s="44">
        <f>COUNTIF('كـشـف حضور يومي'!D4:GG4,مراجع!$K$3)</f>
        <v>0</v>
      </c>
      <c r="M6" s="78">
        <f>مراجع!$C$2-J6</f>
        <v>7</v>
      </c>
      <c r="N6" s="44">
        <f>مراجع!$D$2-K6</f>
        <v>21</v>
      </c>
      <c r="O6" s="56">
        <f>COUNTIF('كـشـف حضور يومي'!D4:GG4,مراجع!$F$3)</f>
        <v>0</v>
      </c>
      <c r="P6" s="66">
        <f>COUNTIFS('كـشـف حضور يومي'!D4:GG4, "*الجمعة*")</f>
        <v>0</v>
      </c>
      <c r="Q6" s="36">
        <f>COUNTIFS('كـشـف حضور يومي'!D4:GG4, "*السبت*")</f>
        <v>0</v>
      </c>
      <c r="R6" s="52">
        <f>COUNTIFS('كـشـف حضور يومي'!D4:GG4, "*مأمورية*")</f>
        <v>0</v>
      </c>
      <c r="S6" s="152"/>
      <c r="T6" s="151"/>
    </row>
    <row r="7" spans="1:322" ht="12.75" x14ac:dyDescent="0.2">
      <c r="B7" s="39">
        <v>2</v>
      </c>
      <c r="C7" s="26" t="s">
        <v>28</v>
      </c>
      <c r="D7" s="22" t="s">
        <v>29</v>
      </c>
      <c r="E7" s="27" t="s">
        <v>44</v>
      </c>
      <c r="F7" s="43">
        <f>SUM('كـشـف حضور يومي'!H5,'كـشـف حضور يومي'!N5,'كـشـف حضور يومي'!T5,'كـشـف حضور يومي'!Z5,'كـشـف حضور يومي'!AF5,'كـشـف حضور يومي'!AL5,'كـشـف حضور يومي'!AR5,'كـشـف حضور يومي'!AX5,'كـشـف حضور يومي'!BD5,'كـشـف حضور يومي'!BJ5,'كـشـف حضور يومي'!BP5,'كـشـف حضور يومي'!BV5,'كـشـف حضور يومي'!CB5,'كـشـف حضور يومي'!CH5,'كـشـف حضور يومي'!CN5,'كـشـف حضور يومي'!CT5,'كـشـف حضور يومي'!CZ5,'كـشـف حضور يومي'!DF5,'كـشـف حضور يومي'!DL5,'كـشـف حضور يومي'!DR5,'كـشـف حضور يومي'!DX5,'كـشـف حضور يومي'!ED5,'كـشـف حضور يومي'!EJ5,'كـشـف حضور يومي'!EP5,'كـشـف حضور يومي'!EV5,'كـشـف حضور يومي'!FB5,'كـشـف حضور يومي'!FH5,'كـشـف حضور يومي'!FN5,'كـشـف حضور يومي'!FT5,'كـشـف حضور يومي'!FZ5,'كـشـف حضور يومي'!GF5)</f>
        <v>0</v>
      </c>
      <c r="G7" s="35">
        <f>F7-مراجع!$A$2</f>
        <v>-8.6666666666666661</v>
      </c>
      <c r="H7" s="35">
        <f>مراجع!$A$2-F7</f>
        <v>8.6666666666666661</v>
      </c>
      <c r="I7" s="82">
        <f>COUNTIFS('كـشـف حضور يومي'!D5:GG5, "*حضور*")</f>
        <v>0</v>
      </c>
      <c r="J7" s="48">
        <f>COUNTIF('كـشـف حضور يومي'!D5:GG5,$J$5)</f>
        <v>0</v>
      </c>
      <c r="K7" s="78">
        <f>COUNTIF('كـشـف حضور يومي'!D5:GG5,مراجع!$E$3)</f>
        <v>0</v>
      </c>
      <c r="L7" s="44">
        <f>COUNTIF('كـشـف حضور يومي'!D5:GG5,مراجع!$K$3)</f>
        <v>0</v>
      </c>
      <c r="M7" s="78">
        <f>مراجع!$C$2-J7</f>
        <v>7</v>
      </c>
      <c r="N7" s="44">
        <f>مراجع!$D$2-K7</f>
        <v>21</v>
      </c>
      <c r="O7" s="56">
        <f>COUNTIF('كـشـف حضور يومي'!D5:GG5,مراجع!$F$3)</f>
        <v>0</v>
      </c>
      <c r="P7" s="66">
        <f>COUNTIFS('كـشـف حضور يومي'!D5:GG5, "*الجمعة*")</f>
        <v>0</v>
      </c>
      <c r="Q7" s="36">
        <f>COUNTIFS('كـشـف حضور يومي'!D5:GG5, "*السبت*")</f>
        <v>0</v>
      </c>
      <c r="R7" s="52">
        <f>COUNTIFS('كـشـف حضور يومي'!D5:GG5, "*مأمورية*")</f>
        <v>0</v>
      </c>
      <c r="S7" s="152"/>
      <c r="T7" s="151"/>
    </row>
    <row r="8" spans="1:322" ht="12.75" x14ac:dyDescent="0.2">
      <c r="B8" s="39">
        <v>3</v>
      </c>
      <c r="C8" s="26" t="s">
        <v>30</v>
      </c>
      <c r="D8" s="22" t="s">
        <v>31</v>
      </c>
      <c r="E8" s="27" t="s">
        <v>44</v>
      </c>
      <c r="F8" s="43">
        <f>SUM('كـشـف حضور يومي'!H6,'كـشـف حضور يومي'!N6,'كـشـف حضور يومي'!T6,'كـشـف حضور يومي'!Z6,'كـشـف حضور يومي'!AF6,'كـشـف حضور يومي'!AL6,'كـشـف حضور يومي'!AR6,'كـشـف حضور يومي'!AX6,'كـشـف حضور يومي'!BD6,'كـشـف حضور يومي'!BJ6,'كـشـف حضور يومي'!BP6,'كـشـف حضور يومي'!BV6,'كـشـف حضور يومي'!CB6,'كـشـف حضور يومي'!CH6,'كـشـف حضور يومي'!CN6,'كـشـف حضور يومي'!CT6,'كـشـف حضور يومي'!CZ6,'كـشـف حضور يومي'!DF6,'كـشـف حضور يومي'!DL6,'كـشـف حضور يومي'!DR6,'كـشـف حضور يومي'!DX6,'كـشـف حضور يومي'!ED6,'كـشـف حضور يومي'!EJ6,'كـشـف حضور يومي'!EP6,'كـشـف حضور يومي'!EV6,'كـشـف حضور يومي'!FB6,'كـشـف حضور يومي'!FH6,'كـشـف حضور يومي'!FN6,'كـشـف حضور يومي'!FT6,'كـشـف حضور يومي'!FZ6,'كـشـف حضور يومي'!GF6)</f>
        <v>0</v>
      </c>
      <c r="G8" s="35">
        <f>F8-مراجع!$A$2</f>
        <v>-8.6666666666666661</v>
      </c>
      <c r="H8" s="35">
        <f>مراجع!$A$2-F8</f>
        <v>8.6666666666666661</v>
      </c>
      <c r="I8" s="82">
        <f>COUNTIFS('كـشـف حضور يومي'!D6:GG6, "*حضور*")</f>
        <v>0</v>
      </c>
      <c r="J8" s="48">
        <f>COUNTIF('كـشـف حضور يومي'!D6:GG6,$J$5)</f>
        <v>0</v>
      </c>
      <c r="K8" s="78">
        <f>COUNTIF('كـشـف حضور يومي'!D6:GG6,مراجع!$E$3)</f>
        <v>0</v>
      </c>
      <c r="L8" s="44">
        <f>COUNTIF('كـشـف حضور يومي'!D6:GG6,مراجع!$K$3)</f>
        <v>0</v>
      </c>
      <c r="M8" s="78">
        <f>مراجع!$C$2-J8</f>
        <v>7</v>
      </c>
      <c r="N8" s="44">
        <f>مراجع!$D$2-K8</f>
        <v>21</v>
      </c>
      <c r="O8" s="56">
        <f>COUNTIF('كـشـف حضور يومي'!D6:GG6,مراجع!$F$3)</f>
        <v>0</v>
      </c>
      <c r="P8" s="66">
        <f>COUNTIFS('كـشـف حضور يومي'!D6:GG6, "*الجمعة*")</f>
        <v>0</v>
      </c>
      <c r="Q8" s="36">
        <f>COUNTIFS('كـشـف حضور يومي'!D6:GG6, "*السبت*")</f>
        <v>0</v>
      </c>
      <c r="R8" s="52">
        <f>COUNTIFS('كـشـف حضور يومي'!D6:GG6, "*مأمورية*")</f>
        <v>0</v>
      </c>
      <c r="S8" s="152"/>
      <c r="T8" s="151"/>
      <c r="GX8" s="20"/>
      <c r="GY8" s="20"/>
      <c r="GZ8" s="20"/>
      <c r="HA8" s="20"/>
      <c r="HB8" s="20"/>
      <c r="HC8" s="20"/>
      <c r="HD8" s="20"/>
      <c r="HE8" s="20"/>
      <c r="HF8" s="20"/>
      <c r="HG8" s="20"/>
      <c r="HH8" s="20"/>
      <c r="HI8" s="20"/>
      <c r="HJ8" s="20"/>
      <c r="HK8" s="20"/>
      <c r="HL8" s="20"/>
      <c r="HM8" s="20"/>
      <c r="HN8" s="20"/>
      <c r="HO8" s="20"/>
      <c r="HP8" s="20"/>
      <c r="HQ8" s="20"/>
      <c r="HR8" s="20"/>
      <c r="HS8" s="20"/>
      <c r="HT8" s="20"/>
      <c r="HU8" s="20"/>
      <c r="HV8" s="20"/>
      <c r="HW8" s="20"/>
      <c r="HX8" s="20"/>
      <c r="HY8" s="20"/>
      <c r="HZ8" s="20"/>
      <c r="IA8" s="20"/>
      <c r="IB8" s="20"/>
      <c r="IC8" s="20"/>
      <c r="ID8" s="20"/>
      <c r="IE8" s="20"/>
      <c r="IF8" s="20"/>
      <c r="IG8" s="20"/>
      <c r="IH8" s="20"/>
      <c r="II8" s="20"/>
      <c r="IJ8" s="20"/>
      <c r="IK8" s="20"/>
      <c r="IL8" s="20"/>
      <c r="IM8" s="20"/>
      <c r="IN8" s="20"/>
      <c r="IO8" s="20"/>
      <c r="IP8" s="20"/>
      <c r="IQ8" s="20"/>
      <c r="IR8" s="20"/>
      <c r="IS8" s="20"/>
      <c r="IT8" s="20"/>
      <c r="IU8" s="20"/>
      <c r="IV8" s="20"/>
      <c r="IW8" s="20"/>
      <c r="IX8" s="20"/>
      <c r="IY8" s="20"/>
      <c r="IZ8" s="20"/>
      <c r="JA8" s="20"/>
      <c r="JB8" s="20"/>
      <c r="JC8" s="20"/>
      <c r="JD8" s="20"/>
      <c r="JE8" s="20"/>
      <c r="JF8" s="20"/>
      <c r="JG8" s="20"/>
      <c r="JH8" s="20"/>
      <c r="JI8" s="20"/>
      <c r="JJ8" s="20"/>
      <c r="JK8" s="20"/>
      <c r="JL8" s="20"/>
      <c r="JM8" s="20"/>
      <c r="JN8" s="20"/>
      <c r="JO8" s="20"/>
      <c r="JP8" s="20"/>
      <c r="JQ8" s="20"/>
      <c r="JR8" s="20"/>
      <c r="JS8" s="20"/>
      <c r="JT8" s="20"/>
      <c r="JU8" s="20"/>
      <c r="JV8" s="20"/>
      <c r="JW8" s="20"/>
      <c r="JX8" s="20"/>
      <c r="JY8" s="20"/>
      <c r="JZ8" s="20"/>
      <c r="KA8" s="20"/>
      <c r="KB8" s="20"/>
      <c r="KC8" s="20"/>
      <c r="KD8" s="20"/>
      <c r="KE8" s="20"/>
      <c r="KF8" s="20"/>
      <c r="KG8" s="20"/>
      <c r="KH8" s="20"/>
      <c r="KI8" s="20"/>
      <c r="KJ8" s="20"/>
      <c r="KK8" s="20"/>
      <c r="KL8" s="20"/>
      <c r="KM8" s="20"/>
      <c r="KN8" s="20"/>
      <c r="KO8" s="20"/>
      <c r="KP8" s="20"/>
      <c r="KQ8" s="20"/>
      <c r="KR8" s="20"/>
      <c r="KS8" s="20"/>
      <c r="KT8" s="20"/>
      <c r="KU8" s="20"/>
      <c r="KV8" s="20"/>
      <c r="KW8" s="20"/>
      <c r="KX8" s="20"/>
      <c r="KY8" s="20"/>
      <c r="KZ8" s="20"/>
      <c r="LA8" s="20"/>
      <c r="LB8" s="20"/>
      <c r="LC8" s="20"/>
      <c r="LD8" s="20"/>
      <c r="LE8" s="20"/>
      <c r="LF8" s="20"/>
      <c r="LG8" s="20"/>
      <c r="LH8" s="20"/>
      <c r="LI8" s="20"/>
      <c r="LJ8" s="20"/>
    </row>
    <row r="9" spans="1:322" ht="12" customHeight="1" x14ac:dyDescent="0.2">
      <c r="B9" s="39">
        <v>4</v>
      </c>
      <c r="C9" s="26" t="s">
        <v>32</v>
      </c>
      <c r="D9" s="23" t="s">
        <v>62</v>
      </c>
      <c r="E9" s="28" t="s">
        <v>45</v>
      </c>
      <c r="F9" s="43">
        <f>SUM('كـشـف حضور يومي'!H7,'كـشـف حضور يومي'!N7,'كـشـف حضور يومي'!T7,'كـشـف حضور يومي'!Z7,'كـشـف حضور يومي'!AF7,'كـشـف حضور يومي'!AL7,'كـشـف حضور يومي'!AR7,'كـشـف حضور يومي'!AX7,'كـشـف حضور يومي'!BD7,'كـشـف حضور يومي'!BJ7,'كـشـف حضور يومي'!BP7,'كـشـف حضور يومي'!BV7,'كـشـف حضور يومي'!CB7,'كـشـف حضور يومي'!CH7,'كـشـف حضور يومي'!CN7,'كـشـف حضور يومي'!CT7,'كـشـف حضور يومي'!CZ7,'كـشـف حضور يومي'!DF7,'كـشـف حضور يومي'!DL7,'كـشـف حضور يومي'!DR7,'كـشـف حضور يومي'!DX7,'كـشـف حضور يومي'!ED7,'كـشـف حضور يومي'!EJ7,'كـشـف حضور يومي'!EP7,'كـشـف حضور يومي'!EV7,'كـشـف حضور يومي'!FB7,'كـشـف حضور يومي'!FH7,'كـشـف حضور يومي'!FN7,'كـشـف حضور يومي'!FT7,'كـشـف حضور يومي'!FZ7,'كـشـف حضور يومي'!GF7)</f>
        <v>0</v>
      </c>
      <c r="G9" s="35">
        <f>F9-مراجع!$A$2</f>
        <v>-8.6666666666666661</v>
      </c>
      <c r="H9" s="35">
        <f>مراجع!$A$2-F9</f>
        <v>8.6666666666666661</v>
      </c>
      <c r="I9" s="82">
        <f>COUNTIFS('كـشـف حضور يومي'!D7:GG7, "*حضور*")</f>
        <v>0</v>
      </c>
      <c r="J9" s="48">
        <f>COUNTIF('كـشـف حضور يومي'!D7:GG7,$J$5)</f>
        <v>0</v>
      </c>
      <c r="K9" s="78">
        <f>COUNTIF('كـشـف حضور يومي'!D7:GG7,مراجع!$E$3)</f>
        <v>0</v>
      </c>
      <c r="L9" s="44">
        <f>COUNTIF('كـشـف حضور يومي'!D7:GG7,مراجع!$K$3)</f>
        <v>0</v>
      </c>
      <c r="M9" s="78">
        <f>مراجع!$C$2-J9</f>
        <v>7</v>
      </c>
      <c r="N9" s="44">
        <f>مراجع!$D$2-K9</f>
        <v>21</v>
      </c>
      <c r="O9" s="56">
        <f>COUNTIF('كـشـف حضور يومي'!D7:GG7,مراجع!$F$3)</f>
        <v>0</v>
      </c>
      <c r="P9" s="66">
        <f>COUNTIFS('كـشـف حضور يومي'!D7:GG7, "*الجمعة*")</f>
        <v>0</v>
      </c>
      <c r="Q9" s="36">
        <f>COUNTIFS('كـشـف حضور يومي'!D7:GG7, "*السبت*")</f>
        <v>0</v>
      </c>
      <c r="R9" s="52">
        <f>COUNTIFS('كـشـف حضور يومي'!D7:GG7, "*مأمورية*")</f>
        <v>0</v>
      </c>
      <c r="S9" s="152"/>
      <c r="T9" s="151"/>
    </row>
    <row r="10" spans="1:322" ht="12.75" x14ac:dyDescent="0.2">
      <c r="B10" s="39">
        <v>5</v>
      </c>
      <c r="C10" s="26" t="s">
        <v>33</v>
      </c>
      <c r="D10" s="22" t="s">
        <v>34</v>
      </c>
      <c r="E10" s="27" t="s">
        <v>44</v>
      </c>
      <c r="F10" s="43">
        <f>SUM('كـشـف حضور يومي'!H8,'كـشـف حضور يومي'!N8,'كـشـف حضور يومي'!T8,'كـشـف حضور يومي'!Z8,'كـشـف حضور يومي'!AF8,'كـشـف حضور يومي'!AL8,'كـشـف حضور يومي'!AR8,'كـشـف حضور يومي'!AX8,'كـشـف حضور يومي'!BD8,'كـشـف حضور يومي'!BJ8,'كـشـف حضور يومي'!BP8,'كـشـف حضور يومي'!BV8,'كـشـف حضور يومي'!CB8,'كـشـف حضور يومي'!CH8,'كـشـف حضور يومي'!CN8,'كـشـف حضور يومي'!CT8,'كـشـف حضور يومي'!CZ8,'كـشـف حضور يومي'!DF8,'كـشـف حضور يومي'!DL8,'كـشـف حضور يومي'!DR8,'كـشـف حضور يومي'!DX8,'كـشـف حضور يومي'!ED8,'كـشـف حضور يومي'!EJ8,'كـشـف حضور يومي'!EP8,'كـشـف حضور يومي'!EV8,'كـشـف حضور يومي'!FB8,'كـشـف حضور يومي'!FH8,'كـشـف حضور يومي'!FN8,'كـشـف حضور يومي'!FT8,'كـشـف حضور يومي'!FZ8,'كـشـف حضور يومي'!GF8)</f>
        <v>0</v>
      </c>
      <c r="G10" s="35">
        <f>F10-مراجع!$A$2</f>
        <v>-8.6666666666666661</v>
      </c>
      <c r="H10" s="35">
        <f>مراجع!$A$2-F10</f>
        <v>8.6666666666666661</v>
      </c>
      <c r="I10" s="82">
        <f>COUNTIFS('كـشـف حضور يومي'!D8:GG8, "*حضور*")</f>
        <v>0</v>
      </c>
      <c r="J10" s="48">
        <f>COUNTIF('كـشـف حضور يومي'!D8:GG8,$J$5)</f>
        <v>0</v>
      </c>
      <c r="K10" s="78">
        <f>COUNTIF('كـشـف حضور يومي'!D8:GG8,مراجع!$E$3)</f>
        <v>0</v>
      </c>
      <c r="L10" s="44">
        <f>COUNTIF('كـشـف حضور يومي'!D8:GG8,مراجع!$K$3)</f>
        <v>0</v>
      </c>
      <c r="M10" s="78">
        <f>مراجع!$C$2-J10</f>
        <v>7</v>
      </c>
      <c r="N10" s="44">
        <f>مراجع!$D$2-K10</f>
        <v>21</v>
      </c>
      <c r="O10" s="56">
        <f>COUNTIF('كـشـف حضور يومي'!D8:GG8,مراجع!$F$3)</f>
        <v>0</v>
      </c>
      <c r="P10" s="66">
        <f>COUNTIFS('كـشـف حضور يومي'!D8:GG8, "*الجمعة*")</f>
        <v>0</v>
      </c>
      <c r="Q10" s="36">
        <f>COUNTIFS('كـشـف حضور يومي'!D8:GG8, "*السبت*")</f>
        <v>0</v>
      </c>
      <c r="R10" s="52">
        <f>COUNTIFS('كـشـف حضور يومي'!D8:GG8, "*مأمورية*")</f>
        <v>0</v>
      </c>
      <c r="S10" s="152"/>
      <c r="T10" s="151"/>
    </row>
    <row r="11" spans="1:322" ht="12.75" x14ac:dyDescent="0.2">
      <c r="B11" s="39">
        <v>6</v>
      </c>
      <c r="C11" s="26" t="s">
        <v>35</v>
      </c>
      <c r="D11" s="22" t="s">
        <v>31</v>
      </c>
      <c r="E11" s="27" t="s">
        <v>44</v>
      </c>
      <c r="F11" s="43">
        <f>SUM('كـشـف حضور يومي'!H9,'كـشـف حضور يومي'!N9,'كـشـف حضور يومي'!T9,'كـشـف حضور يومي'!Z9,'كـشـف حضور يومي'!AF9,'كـشـف حضور يومي'!AL9,'كـشـف حضور يومي'!AR9,'كـشـف حضور يومي'!AX9,'كـشـف حضور يومي'!BD9,'كـشـف حضور يومي'!BJ9,'كـشـف حضور يومي'!BP9,'كـشـف حضور يومي'!BV9,'كـشـف حضور يومي'!CB9,'كـشـف حضور يومي'!CH9,'كـشـف حضور يومي'!CN9,'كـشـف حضور يومي'!CT9,'كـشـف حضور يومي'!CZ9,'كـشـف حضور يومي'!DF9,'كـشـف حضور يومي'!DL9,'كـشـف حضور يومي'!DR9,'كـشـف حضور يومي'!DX9,'كـشـف حضور يومي'!ED9,'كـشـف حضور يومي'!EJ9,'كـشـف حضور يومي'!EP9,'كـشـف حضور يومي'!EV9,'كـشـف حضور يومي'!FB9,'كـشـف حضور يومي'!FH9,'كـشـف حضور يومي'!FN9,'كـشـف حضور يومي'!FT9,'كـشـف حضور يومي'!FZ9,'كـشـف حضور يومي'!GF9)</f>
        <v>0</v>
      </c>
      <c r="G11" s="35">
        <f>F11-مراجع!$A$2</f>
        <v>-8.6666666666666661</v>
      </c>
      <c r="H11" s="35">
        <f>مراجع!$A$2-F11</f>
        <v>8.6666666666666661</v>
      </c>
      <c r="I11" s="82">
        <f>COUNTIFS('كـشـف حضور يومي'!D9:GG9, "*حضور*")</f>
        <v>0</v>
      </c>
      <c r="J11" s="48">
        <f>COUNTIF('كـشـف حضور يومي'!D9:GG9,$J$5)</f>
        <v>0</v>
      </c>
      <c r="K11" s="78">
        <f>COUNTIF('كـشـف حضور يومي'!D9:GG9,مراجع!$E$3)</f>
        <v>0</v>
      </c>
      <c r="L11" s="44">
        <f>COUNTIF('كـشـف حضور يومي'!D9:GG9,مراجع!$K$3)</f>
        <v>0</v>
      </c>
      <c r="M11" s="78">
        <f>مراجع!$C$2-J11</f>
        <v>7</v>
      </c>
      <c r="N11" s="44">
        <f>مراجع!$D$2-K11</f>
        <v>21</v>
      </c>
      <c r="O11" s="56">
        <f>COUNTIF('كـشـف حضور يومي'!D9:GG9,مراجع!$F$3)</f>
        <v>0</v>
      </c>
      <c r="P11" s="66">
        <f>COUNTIFS('كـشـف حضور يومي'!D9:GG9, "*الجمعة*")</f>
        <v>0</v>
      </c>
      <c r="Q11" s="36">
        <f>COUNTIFS('كـشـف حضور يومي'!D9:GG9, "*السبت*")</f>
        <v>0</v>
      </c>
      <c r="R11" s="52">
        <f>COUNTIFS('كـشـف حضور يومي'!D9:GG9, "*مأمورية*")</f>
        <v>0</v>
      </c>
      <c r="S11" s="152"/>
      <c r="T11" s="151"/>
    </row>
    <row r="12" spans="1:322" ht="12" customHeight="1" x14ac:dyDescent="0.2">
      <c r="B12" s="39">
        <v>7</v>
      </c>
      <c r="C12" s="26" t="s">
        <v>36</v>
      </c>
      <c r="D12" s="23" t="s">
        <v>62</v>
      </c>
      <c r="E12" s="28" t="s">
        <v>45</v>
      </c>
      <c r="F12" s="43">
        <f>SUM('كـشـف حضور يومي'!H10,'كـشـف حضور يومي'!N10,'كـشـف حضور يومي'!T10,'كـشـف حضور يومي'!Z10,'كـشـف حضور يومي'!AF10,'كـشـف حضور يومي'!AL10,'كـشـف حضور يومي'!AR10,'كـشـف حضور يومي'!AX10,'كـشـف حضور يومي'!BD10,'كـشـف حضور يومي'!BJ10,'كـشـف حضور يومي'!BP10,'كـشـف حضور يومي'!BV10,'كـشـف حضور يومي'!CB10,'كـشـف حضور يومي'!CH10,'كـشـف حضور يومي'!CN10,'كـشـف حضور يومي'!CT10,'كـشـف حضور يومي'!CZ10,'كـشـف حضور يومي'!DF10,'كـشـف حضور يومي'!DL10,'كـشـف حضور يومي'!DR10,'كـشـف حضور يومي'!DX10,'كـشـف حضور يومي'!ED10,'كـشـف حضور يومي'!EJ10,'كـشـف حضور يومي'!EP10,'كـشـف حضور يومي'!EV10,'كـشـف حضور يومي'!FB10,'كـشـف حضور يومي'!FH10,'كـشـف حضور يومي'!FN10,'كـشـف حضور يومي'!FT10,'كـشـف حضور يومي'!FZ10,'كـشـف حضور يومي'!GF10)</f>
        <v>0</v>
      </c>
      <c r="G12" s="35">
        <f>F12-مراجع!$A$2</f>
        <v>-8.6666666666666661</v>
      </c>
      <c r="H12" s="35">
        <f>مراجع!$A$2-F12</f>
        <v>8.6666666666666661</v>
      </c>
      <c r="I12" s="82">
        <f>COUNTIFS('كـشـف حضور يومي'!D10:GG10, "*حضور*")</f>
        <v>0</v>
      </c>
      <c r="J12" s="48">
        <f>COUNTIF('كـشـف حضور يومي'!D10:GG10,$J$5)</f>
        <v>0</v>
      </c>
      <c r="K12" s="78">
        <f>COUNTIF('كـشـف حضور يومي'!D10:GG10,مراجع!$E$3)</f>
        <v>0</v>
      </c>
      <c r="L12" s="44">
        <f>COUNTIF('كـشـف حضور يومي'!D10:GG10,مراجع!$K$3)</f>
        <v>0</v>
      </c>
      <c r="M12" s="78">
        <f>مراجع!$C$2-J12</f>
        <v>7</v>
      </c>
      <c r="N12" s="44">
        <f>مراجع!$D$2-K12</f>
        <v>21</v>
      </c>
      <c r="O12" s="56">
        <f>COUNTIF('كـشـف حضور يومي'!D10:GG10,مراجع!$F$3)</f>
        <v>0</v>
      </c>
      <c r="P12" s="66">
        <f>COUNTIFS('كـشـف حضور يومي'!D10:GG10, "*الجمعة*")</f>
        <v>0</v>
      </c>
      <c r="Q12" s="36">
        <f>COUNTIFS('كـشـف حضور يومي'!D10:GG10, "*السبت*")</f>
        <v>0</v>
      </c>
      <c r="R12" s="52">
        <f>COUNTIFS('كـشـف حضور يومي'!D10:GG10, "*مأمورية*")</f>
        <v>0</v>
      </c>
      <c r="S12" s="152"/>
      <c r="T12" s="151"/>
    </row>
    <row r="13" spans="1:322" ht="12.75" x14ac:dyDescent="0.2">
      <c r="B13" s="39">
        <v>8</v>
      </c>
      <c r="C13" s="26" t="s">
        <v>37</v>
      </c>
      <c r="D13" s="22" t="s">
        <v>29</v>
      </c>
      <c r="E13" s="27" t="s">
        <v>44</v>
      </c>
      <c r="F13" s="43">
        <f>SUM('كـشـف حضور يومي'!H11,'كـشـف حضور يومي'!N11,'كـشـف حضور يومي'!T11,'كـشـف حضور يومي'!Z11,'كـشـف حضور يومي'!AF11,'كـشـف حضور يومي'!AL11,'كـشـف حضور يومي'!AR11,'كـشـف حضور يومي'!AX11,'كـشـف حضور يومي'!BD11,'كـشـف حضور يومي'!BJ11,'كـشـف حضور يومي'!BP11,'كـشـف حضور يومي'!BV11,'كـشـف حضور يومي'!CB11,'كـشـف حضور يومي'!CH11,'كـشـف حضور يومي'!CN11,'كـشـف حضور يومي'!CT11,'كـشـف حضور يومي'!CZ11,'كـشـف حضور يومي'!DF11,'كـشـف حضور يومي'!DL11,'كـشـف حضور يومي'!DR11,'كـشـف حضور يومي'!DX11,'كـشـف حضور يومي'!ED11,'كـشـف حضور يومي'!EJ11,'كـشـف حضور يومي'!EP11,'كـشـف حضور يومي'!EV11,'كـشـف حضور يومي'!FB11,'كـشـف حضور يومي'!FH11,'كـشـف حضور يومي'!FN11,'كـشـف حضور يومي'!FT11,'كـشـف حضور يومي'!FZ11,'كـشـف حضور يومي'!GF11)</f>
        <v>0</v>
      </c>
      <c r="G13" s="35">
        <f>F13-مراجع!$A$2</f>
        <v>-8.6666666666666661</v>
      </c>
      <c r="H13" s="35">
        <f>مراجع!$A$2-F13</f>
        <v>8.6666666666666661</v>
      </c>
      <c r="I13" s="82">
        <f>COUNTIFS('كـشـف حضور يومي'!D11:GG11, "*حضور*")</f>
        <v>0</v>
      </c>
      <c r="J13" s="48">
        <f>COUNTIF('كـشـف حضور يومي'!D11:GG11,$J$5)</f>
        <v>0</v>
      </c>
      <c r="K13" s="78">
        <f>COUNTIF('كـشـف حضور يومي'!D11:GG11,مراجع!$E$3)</f>
        <v>0</v>
      </c>
      <c r="L13" s="44">
        <f>COUNTIF('كـشـف حضور يومي'!D11:GG11,مراجع!$K$3)</f>
        <v>0</v>
      </c>
      <c r="M13" s="78">
        <f>مراجع!$C$2-J13</f>
        <v>7</v>
      </c>
      <c r="N13" s="44">
        <f>مراجع!$D$2-K13</f>
        <v>21</v>
      </c>
      <c r="O13" s="56">
        <f>COUNTIF('كـشـف حضور يومي'!D11:GG11,مراجع!$F$3)</f>
        <v>0</v>
      </c>
      <c r="P13" s="66">
        <f>COUNTIFS('كـشـف حضور يومي'!D11:GG11, "*الجمعة*")</f>
        <v>0</v>
      </c>
      <c r="Q13" s="36">
        <f>COUNTIFS('كـشـف حضور يومي'!D11:GG11, "*السبت*")</f>
        <v>0</v>
      </c>
      <c r="R13" s="52">
        <f>COUNTIFS('كـشـف حضور يومي'!D11:GG11, "*مأمورية*")</f>
        <v>0</v>
      </c>
      <c r="S13" s="152"/>
      <c r="T13" s="151"/>
    </row>
    <row r="14" spans="1:322" ht="12.75" x14ac:dyDescent="0.2">
      <c r="B14" s="39">
        <v>10</v>
      </c>
      <c r="C14" s="26" t="s">
        <v>38</v>
      </c>
      <c r="D14" s="22" t="s">
        <v>29</v>
      </c>
      <c r="E14" s="27" t="s">
        <v>44</v>
      </c>
      <c r="F14" s="43">
        <f>SUM('كـشـف حضور يومي'!H12,'كـشـف حضور يومي'!N12,'كـشـف حضور يومي'!T12,'كـشـف حضور يومي'!Z12,'كـشـف حضور يومي'!AF12,'كـشـف حضور يومي'!AL12,'كـشـف حضور يومي'!AR12,'كـشـف حضور يومي'!AX12,'كـشـف حضور يومي'!BD12,'كـشـف حضور يومي'!BJ12,'كـشـف حضور يومي'!BP12,'كـشـف حضور يومي'!BV12,'كـشـف حضور يومي'!CB12,'كـشـف حضور يومي'!CH12,'كـشـف حضور يومي'!CN12,'كـشـف حضور يومي'!CT12,'كـشـف حضور يومي'!CZ12,'كـشـف حضور يومي'!DF12,'كـشـف حضور يومي'!DL12,'كـشـف حضور يومي'!DR12,'كـشـف حضور يومي'!DX12,'كـشـف حضور يومي'!ED12,'كـشـف حضور يومي'!EJ12,'كـشـف حضور يومي'!EP12,'كـشـف حضور يومي'!EV12,'كـشـف حضور يومي'!FB12,'كـشـف حضور يومي'!FH12,'كـشـف حضور يومي'!FN12,'كـشـف حضور يومي'!FT12,'كـشـف حضور يومي'!FZ12,'كـشـف حضور يومي'!GF12)</f>
        <v>0</v>
      </c>
      <c r="G14" s="35">
        <f>F14-مراجع!$A$2</f>
        <v>-8.6666666666666661</v>
      </c>
      <c r="H14" s="35">
        <f>مراجع!$A$2-F14</f>
        <v>8.6666666666666661</v>
      </c>
      <c r="I14" s="82">
        <f>COUNTIFS('كـشـف حضور يومي'!D12:GG12, "*حضور*")</f>
        <v>0</v>
      </c>
      <c r="J14" s="48">
        <f>COUNTIF('كـشـف حضور يومي'!D12:GG12,$J$5)</f>
        <v>0</v>
      </c>
      <c r="K14" s="78">
        <f>COUNTIF('كـشـف حضور يومي'!D12:GG12,مراجع!$E$3)</f>
        <v>0</v>
      </c>
      <c r="L14" s="44">
        <f>COUNTIF('كـشـف حضور يومي'!D12:GG12,مراجع!$K$3)</f>
        <v>0</v>
      </c>
      <c r="M14" s="78">
        <f>مراجع!$C$2-J14</f>
        <v>7</v>
      </c>
      <c r="N14" s="44">
        <f>مراجع!$D$2-K14</f>
        <v>21</v>
      </c>
      <c r="O14" s="56">
        <f>COUNTIF('كـشـف حضور يومي'!D12:GG12,مراجع!$F$3)</f>
        <v>0</v>
      </c>
      <c r="P14" s="66">
        <f>COUNTIFS('كـشـف حضور يومي'!D12:GG12, "*الجمعة*")</f>
        <v>0</v>
      </c>
      <c r="Q14" s="36">
        <f>COUNTIFS('كـشـف حضور يومي'!D12:GG12, "*السبت*")</f>
        <v>0</v>
      </c>
      <c r="R14" s="52">
        <f>COUNTIFS('كـشـف حضور يومي'!D12:GG12, "*مأمورية*")</f>
        <v>0</v>
      </c>
      <c r="S14" s="152"/>
      <c r="T14" s="151"/>
    </row>
    <row r="15" spans="1:322" ht="12.75" x14ac:dyDescent="0.2">
      <c r="B15" s="39">
        <v>11</v>
      </c>
      <c r="C15" s="26" t="s">
        <v>41</v>
      </c>
      <c r="D15" s="22" t="s">
        <v>39</v>
      </c>
      <c r="E15" s="28" t="s">
        <v>45</v>
      </c>
      <c r="F15" s="43">
        <f>SUM('كـشـف حضور يومي'!H13,'كـشـف حضور يومي'!N13,'كـشـف حضور يومي'!T13,'كـشـف حضور يومي'!Z13,'كـشـف حضور يومي'!AF13,'كـشـف حضور يومي'!AL13,'كـشـف حضور يومي'!AR13,'كـشـف حضور يومي'!AX13,'كـشـف حضور يومي'!BD13,'كـشـف حضور يومي'!BJ13,'كـشـف حضور يومي'!BP13,'كـشـف حضور يومي'!BV13,'كـشـف حضور يومي'!CB13,'كـشـف حضور يومي'!CH13,'كـشـف حضور يومي'!CN13,'كـشـف حضور يومي'!CT13,'كـشـف حضور يومي'!CZ13,'كـشـف حضور يومي'!DF13,'كـشـف حضور يومي'!DL13,'كـشـف حضور يومي'!DR13,'كـشـف حضور يومي'!DX13,'كـشـف حضور يومي'!ED13,'كـشـف حضور يومي'!EJ13,'كـشـف حضور يومي'!EP13,'كـشـف حضور يومي'!EV13,'كـشـف حضور يومي'!FB13,'كـشـف حضور يومي'!FH13,'كـشـف حضور يومي'!FN13,'كـشـف حضور يومي'!FT13,'كـشـف حضور يومي'!FZ13,'كـشـف حضور يومي'!GF13)</f>
        <v>0</v>
      </c>
      <c r="G15" s="35">
        <f>F15-مراجع!$A$2</f>
        <v>-8.6666666666666661</v>
      </c>
      <c r="H15" s="35">
        <f>مراجع!$A$2-F15</f>
        <v>8.6666666666666661</v>
      </c>
      <c r="I15" s="82">
        <f>COUNTIFS('كـشـف حضور يومي'!D13:GG13, "*حضور*")</f>
        <v>0</v>
      </c>
      <c r="J15" s="48">
        <f>COUNTIF('كـشـف حضور يومي'!D13:GG13,$J$5)</f>
        <v>0</v>
      </c>
      <c r="K15" s="78">
        <f>COUNTIF('كـشـف حضور يومي'!D13:GG13,مراجع!$E$3)</f>
        <v>0</v>
      </c>
      <c r="L15" s="44">
        <f>COUNTIF('كـشـف حضور يومي'!D13:GG13,مراجع!$K$3)</f>
        <v>0</v>
      </c>
      <c r="M15" s="78">
        <f>مراجع!$C$2-J15</f>
        <v>7</v>
      </c>
      <c r="N15" s="44">
        <f>مراجع!$D$2-K15</f>
        <v>21</v>
      </c>
      <c r="O15" s="56">
        <f>COUNTIF('كـشـف حضور يومي'!D13:GG13,مراجع!$F$3)</f>
        <v>0</v>
      </c>
      <c r="P15" s="66">
        <f>COUNTIFS('كـشـف حضور يومي'!D13:GG13, "*الجمعة*")</f>
        <v>0</v>
      </c>
      <c r="Q15" s="36">
        <f>COUNTIFS('كـشـف حضور يومي'!D13:GG13, "*السبت*")</f>
        <v>0</v>
      </c>
      <c r="R15" s="52">
        <f>COUNTIFS('كـشـف حضور يومي'!D13:GG13, "*مأمورية*")</f>
        <v>0</v>
      </c>
      <c r="S15" s="152"/>
      <c r="T15" s="151"/>
    </row>
    <row r="16" spans="1:322" ht="13.5" thickBot="1" x14ac:dyDescent="0.25">
      <c r="B16" s="40">
        <v>12</v>
      </c>
      <c r="C16" s="29" t="s">
        <v>40</v>
      </c>
      <c r="D16" s="30" t="s">
        <v>39</v>
      </c>
      <c r="E16" s="31" t="s">
        <v>45</v>
      </c>
      <c r="F16" s="45">
        <f>SUM('كـشـف حضور يومي'!H14,'كـشـف حضور يومي'!N14,'كـشـف حضور يومي'!T14,'كـشـف حضور يومي'!Z14,'كـشـف حضور يومي'!AF14,'كـشـف حضور يومي'!AL14,'كـشـف حضور يومي'!AR14,'كـشـف حضور يومي'!AX14,'كـشـف حضور يومي'!BD14,'كـشـف حضور يومي'!BJ14,'كـشـف حضور يومي'!BP14,'كـشـف حضور يومي'!BV14,'كـشـف حضور يومي'!CB14,'كـشـف حضور يومي'!CH14,'كـشـف حضور يومي'!CN14,'كـشـف حضور يومي'!CT14,'كـشـف حضور يومي'!CZ14,'كـشـف حضور يومي'!DF14,'كـشـف حضور يومي'!DL14,'كـشـف حضور يومي'!DR14,'كـشـف حضور يومي'!DX14,'كـشـف حضور يومي'!ED14,'كـشـف حضور يومي'!EJ14,'كـشـف حضور يومي'!EP14,'كـشـف حضور يومي'!EV14,'كـشـف حضور يومي'!FB14,'كـشـف حضور يومي'!FH14,'كـشـف حضور يومي'!FN14,'كـشـف حضور يومي'!FT14,'كـشـف حضور يومي'!FZ14,'كـشـف حضور يومي'!GF14)</f>
        <v>0</v>
      </c>
      <c r="G16" s="46">
        <f>F16-مراجع!$A$2</f>
        <v>-8.6666666666666661</v>
      </c>
      <c r="H16" s="46">
        <f>مراجع!$A$2-F16</f>
        <v>8.6666666666666661</v>
      </c>
      <c r="I16" s="83">
        <f>COUNTIFS('كـشـف حضور يومي'!D14:GG14, "*حضور*")</f>
        <v>0</v>
      </c>
      <c r="J16" s="49">
        <f>COUNTIF('كـشـف حضور يومي'!D14:GG14,$J$5)</f>
        <v>0</v>
      </c>
      <c r="K16" s="79">
        <f>COUNTIF('كـشـف حضور يومي'!D14:GG14,مراجع!$E$3)</f>
        <v>0</v>
      </c>
      <c r="L16" s="1">
        <f>COUNTIF('كـشـف حضور يومي'!D14:GG14,مراجع!$K$3)</f>
        <v>0</v>
      </c>
      <c r="M16" s="79">
        <f>مراجع!$C$2-J16</f>
        <v>7</v>
      </c>
      <c r="N16" s="1">
        <f>مراجع!$D$2-K16</f>
        <v>21</v>
      </c>
      <c r="O16" s="57">
        <f>COUNTIF('كـشـف حضور يومي'!D14:GG14,مراجع!$F$3)</f>
        <v>0</v>
      </c>
      <c r="P16" s="67">
        <f>COUNTIFS('كـشـف حضور يومي'!D14:GG14, "*الجمعة*")</f>
        <v>0</v>
      </c>
      <c r="Q16" s="53">
        <f>COUNTIFS('كـشـف حضور يومي'!D14:GG14, "*السبت*")</f>
        <v>0</v>
      </c>
      <c r="R16" s="54">
        <f>COUNTIFS('كـشـف حضور يومي'!D14:GG14, "*مأمورية*")</f>
        <v>0</v>
      </c>
      <c r="S16" s="152"/>
      <c r="T16" s="151"/>
    </row>
    <row r="17" spans="2:205" x14ac:dyDescent="0.2">
      <c r="B17" s="9"/>
      <c r="C17" s="10"/>
      <c r="D17" s="10"/>
      <c r="E17" s="10"/>
      <c r="F17" s="11"/>
      <c r="G17" s="11"/>
      <c r="H17" s="11"/>
      <c r="I17" s="12"/>
      <c r="J17" s="12"/>
      <c r="K17" s="12"/>
      <c r="L17" s="12"/>
      <c r="M17" s="13"/>
      <c r="N17" s="13"/>
      <c r="O17" s="13"/>
      <c r="P17" s="14"/>
      <c r="Q17" s="15"/>
      <c r="R17" s="15"/>
      <c r="T17" s="17"/>
      <c r="U17" s="17"/>
      <c r="V17" s="18"/>
      <c r="W17" s="18"/>
      <c r="X17" s="18"/>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c r="BV17" s="17"/>
      <c r="BW17" s="17"/>
      <c r="BX17" s="17"/>
      <c r="BY17" s="17"/>
      <c r="BZ17" s="17"/>
      <c r="CA17" s="17"/>
      <c r="CB17" s="17"/>
      <c r="CC17" s="17"/>
      <c r="CD17" s="17"/>
      <c r="CE17" s="17"/>
      <c r="CF17" s="17"/>
      <c r="CG17" s="17"/>
      <c r="CH17" s="17"/>
      <c r="CI17" s="17"/>
      <c r="CJ17" s="17"/>
      <c r="CK17" s="17"/>
      <c r="CL17" s="17"/>
      <c r="CM17" s="17"/>
      <c r="CN17" s="17"/>
      <c r="CO17" s="17"/>
      <c r="CP17" s="17"/>
      <c r="CQ17" s="17"/>
      <c r="CR17" s="17"/>
      <c r="CS17" s="17"/>
      <c r="CT17" s="17"/>
      <c r="CU17" s="17"/>
      <c r="CV17" s="17"/>
      <c r="CW17" s="17"/>
      <c r="CX17" s="17"/>
      <c r="CY17" s="17"/>
      <c r="CZ17" s="17"/>
      <c r="DA17" s="17"/>
      <c r="DB17" s="17"/>
      <c r="DC17" s="17"/>
      <c r="DD17" s="17"/>
      <c r="DE17" s="17"/>
      <c r="DF17" s="17"/>
      <c r="DG17" s="17"/>
      <c r="DH17" s="17"/>
      <c r="DI17" s="17"/>
      <c r="DJ17" s="17"/>
      <c r="DK17" s="17"/>
      <c r="DL17" s="17"/>
      <c r="DM17" s="17"/>
      <c r="DN17" s="17"/>
      <c r="DO17" s="17"/>
      <c r="DP17" s="17"/>
      <c r="DQ17" s="17"/>
      <c r="DR17" s="17"/>
      <c r="DS17" s="17"/>
      <c r="DT17" s="17"/>
      <c r="DU17" s="17"/>
      <c r="DV17" s="17"/>
      <c r="DW17" s="17"/>
      <c r="DX17" s="17"/>
      <c r="DY17" s="17"/>
      <c r="DZ17" s="17"/>
      <c r="EA17" s="17"/>
      <c r="EB17" s="17"/>
      <c r="EC17" s="17"/>
      <c r="ED17" s="17"/>
      <c r="EE17" s="17"/>
      <c r="EF17" s="17"/>
      <c r="EG17" s="17"/>
      <c r="EH17" s="17"/>
      <c r="EI17" s="17"/>
      <c r="EJ17" s="17"/>
      <c r="EK17" s="17"/>
      <c r="EL17" s="17"/>
      <c r="EM17" s="17"/>
      <c r="EN17" s="17"/>
      <c r="EO17" s="17"/>
      <c r="EP17" s="17"/>
      <c r="EQ17" s="17"/>
      <c r="ER17" s="17"/>
      <c r="ES17" s="17"/>
      <c r="ET17" s="17"/>
      <c r="EU17" s="17"/>
      <c r="EV17" s="17"/>
      <c r="EW17" s="17"/>
      <c r="EX17" s="17"/>
      <c r="EY17" s="17"/>
      <c r="EZ17" s="17"/>
      <c r="FA17" s="17"/>
      <c r="FB17" s="17"/>
      <c r="FC17" s="17"/>
      <c r="FD17" s="17"/>
      <c r="FE17" s="17"/>
      <c r="FF17" s="17"/>
      <c r="FG17" s="17"/>
      <c r="FH17" s="17"/>
      <c r="FI17" s="17"/>
      <c r="FJ17" s="17"/>
      <c r="FK17" s="17"/>
      <c r="FL17" s="17"/>
      <c r="FM17" s="17"/>
      <c r="FN17" s="17"/>
      <c r="FO17" s="17"/>
      <c r="FP17" s="17"/>
      <c r="FQ17" s="17"/>
      <c r="FR17" s="17"/>
      <c r="FS17" s="17"/>
      <c r="FT17" s="17"/>
      <c r="FU17" s="17"/>
      <c r="FV17" s="17"/>
      <c r="FW17" s="17"/>
      <c r="FX17" s="17"/>
      <c r="FY17" s="17"/>
      <c r="FZ17" s="17"/>
      <c r="GA17" s="17"/>
      <c r="GB17" s="17"/>
      <c r="GC17" s="17"/>
      <c r="GD17" s="17"/>
      <c r="GE17" s="17"/>
      <c r="GF17" s="17"/>
      <c r="GG17" s="17"/>
      <c r="GH17" s="17"/>
      <c r="GI17" s="17"/>
      <c r="GJ17" s="17"/>
      <c r="GK17" s="17"/>
      <c r="GL17" s="17"/>
      <c r="GM17" s="17"/>
      <c r="GN17" s="17"/>
      <c r="GO17" s="17"/>
      <c r="GP17" s="17"/>
      <c r="GQ17" s="17"/>
      <c r="GR17" s="17"/>
      <c r="GS17" s="17"/>
      <c r="GT17" s="17"/>
      <c r="GU17" s="17"/>
      <c r="GV17" s="17"/>
      <c r="GW17" s="17"/>
    </row>
    <row r="18" spans="2:205" ht="29.25" customHeight="1" x14ac:dyDescent="0.2">
      <c r="B18" s="165" t="s">
        <v>63</v>
      </c>
      <c r="C18" s="165"/>
      <c r="D18" s="165"/>
      <c r="E18" s="165"/>
      <c r="F18" s="165"/>
      <c r="G18" s="165"/>
      <c r="H18" s="165"/>
      <c r="I18" s="165"/>
      <c r="J18" s="165"/>
      <c r="K18" s="165"/>
      <c r="L18" s="165"/>
      <c r="M18" s="165"/>
      <c r="N18" s="165"/>
      <c r="O18" s="165"/>
      <c r="P18" s="55"/>
      <c r="Q18" s="55"/>
      <c r="R18" s="55"/>
      <c r="T18" s="17"/>
      <c r="U18" s="17"/>
      <c r="V18" s="18"/>
      <c r="W18" s="18"/>
      <c r="X18" s="18"/>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c r="BV18" s="17"/>
      <c r="BW18" s="17"/>
      <c r="BX18" s="17"/>
      <c r="BY18" s="17"/>
      <c r="BZ18" s="17"/>
      <c r="CA18" s="17"/>
      <c r="CB18" s="17"/>
      <c r="CC18" s="17"/>
      <c r="CD18" s="17"/>
      <c r="CE18" s="17"/>
      <c r="CF18" s="17"/>
      <c r="CG18" s="17"/>
      <c r="CH18" s="17"/>
      <c r="CI18" s="17"/>
      <c r="CJ18" s="17"/>
      <c r="CK18" s="17"/>
      <c r="CL18" s="17"/>
      <c r="CM18" s="17"/>
      <c r="CN18" s="17"/>
      <c r="CO18" s="17"/>
      <c r="CP18" s="17"/>
      <c r="CQ18" s="17"/>
      <c r="CR18" s="17"/>
      <c r="CS18" s="17"/>
      <c r="CT18" s="17"/>
      <c r="CU18" s="17"/>
      <c r="CV18" s="17"/>
      <c r="CW18" s="17"/>
      <c r="CX18" s="17"/>
      <c r="CY18" s="17"/>
      <c r="CZ18" s="17"/>
      <c r="DA18" s="17"/>
      <c r="DB18" s="17"/>
      <c r="DC18" s="17"/>
      <c r="DD18" s="17"/>
      <c r="DE18" s="17"/>
      <c r="DF18" s="17"/>
      <c r="DG18" s="17"/>
      <c r="DH18" s="17"/>
      <c r="DI18" s="17"/>
      <c r="DJ18" s="17"/>
      <c r="DK18" s="17"/>
      <c r="DL18" s="17"/>
      <c r="DM18" s="17"/>
      <c r="DN18" s="17"/>
      <c r="DO18" s="17"/>
      <c r="DP18" s="17"/>
      <c r="DQ18" s="17"/>
      <c r="DR18" s="17"/>
      <c r="DS18" s="17"/>
      <c r="DT18" s="17"/>
      <c r="DU18" s="17"/>
      <c r="DV18" s="17"/>
      <c r="DW18" s="17"/>
      <c r="DX18" s="17"/>
      <c r="DY18" s="17"/>
      <c r="DZ18" s="17"/>
      <c r="EA18" s="17"/>
      <c r="EB18" s="17"/>
      <c r="EC18" s="17"/>
      <c r="ED18" s="17"/>
      <c r="EE18" s="17"/>
      <c r="EF18" s="17"/>
      <c r="EG18" s="17"/>
      <c r="EH18" s="17"/>
      <c r="EI18" s="17"/>
      <c r="EJ18" s="17"/>
      <c r="EK18" s="17"/>
      <c r="EL18" s="17"/>
      <c r="EM18" s="17"/>
      <c r="EN18" s="17"/>
      <c r="EO18" s="17"/>
      <c r="EP18" s="17"/>
      <c r="EQ18" s="17"/>
      <c r="ER18" s="17"/>
      <c r="ES18" s="17"/>
      <c r="ET18" s="17"/>
      <c r="EU18" s="17"/>
      <c r="EV18" s="17"/>
      <c r="EW18" s="17"/>
      <c r="EX18" s="17"/>
      <c r="EY18" s="17"/>
      <c r="EZ18" s="17"/>
      <c r="FA18" s="17"/>
      <c r="FB18" s="17"/>
      <c r="FC18" s="17"/>
      <c r="FD18" s="17"/>
      <c r="FE18" s="17"/>
      <c r="FF18" s="17"/>
      <c r="FG18" s="17"/>
      <c r="FH18" s="17"/>
      <c r="FI18" s="17"/>
      <c r="FJ18" s="17"/>
      <c r="FK18" s="17"/>
      <c r="FL18" s="17"/>
      <c r="FM18" s="17"/>
      <c r="FN18" s="17"/>
      <c r="FO18" s="17"/>
      <c r="FP18" s="17"/>
      <c r="FQ18" s="17"/>
      <c r="FR18" s="17"/>
      <c r="FS18" s="17"/>
      <c r="FT18" s="17"/>
      <c r="FU18" s="17"/>
      <c r="FV18" s="17"/>
      <c r="FW18" s="17"/>
      <c r="FX18" s="17"/>
      <c r="FY18" s="17"/>
      <c r="FZ18" s="17"/>
      <c r="GA18" s="17"/>
      <c r="GB18" s="17"/>
      <c r="GC18" s="17"/>
      <c r="GD18" s="17"/>
      <c r="GE18" s="17"/>
      <c r="GF18" s="17"/>
      <c r="GG18" s="17"/>
      <c r="GH18" s="17"/>
      <c r="GI18" s="17"/>
      <c r="GJ18" s="17"/>
      <c r="GK18" s="17"/>
      <c r="GL18" s="17"/>
      <c r="GM18" s="17"/>
      <c r="GN18" s="17"/>
      <c r="GO18" s="17"/>
      <c r="GP18" s="17"/>
      <c r="GQ18" s="17"/>
      <c r="GR18" s="17"/>
      <c r="GS18" s="17"/>
      <c r="GT18" s="17"/>
      <c r="GU18" s="17"/>
      <c r="GV18" s="17"/>
      <c r="GW18" s="17"/>
    </row>
    <row r="19" spans="2:205" ht="30" customHeight="1" x14ac:dyDescent="0.2">
      <c r="B19" s="164" t="s">
        <v>26</v>
      </c>
      <c r="C19" s="164"/>
      <c r="D19" s="164"/>
      <c r="E19" s="164"/>
      <c r="F19" s="164"/>
      <c r="G19" s="164"/>
      <c r="H19" s="164"/>
      <c r="I19" s="164"/>
      <c r="J19" s="164"/>
      <c r="K19" s="164"/>
      <c r="L19" s="164"/>
      <c r="M19" s="164"/>
      <c r="N19" s="164"/>
      <c r="O19" s="164"/>
      <c r="P19" s="55"/>
      <c r="Q19" s="55"/>
      <c r="R19" s="55"/>
    </row>
    <row r="20" spans="2:205" ht="18" x14ac:dyDescent="0.2">
      <c r="B20" s="204" t="s">
        <v>21</v>
      </c>
      <c r="C20" s="204"/>
      <c r="D20" s="61" t="s">
        <v>43</v>
      </c>
      <c r="E20" s="205" t="s">
        <v>17</v>
      </c>
      <c r="F20" s="205"/>
      <c r="G20" s="205"/>
      <c r="H20" s="205"/>
      <c r="I20" s="205"/>
      <c r="J20" s="204" t="s">
        <v>18</v>
      </c>
      <c r="K20" s="204"/>
      <c r="L20" s="204"/>
      <c r="M20" s="203" t="s">
        <v>79</v>
      </c>
      <c r="N20" s="203"/>
      <c r="O20" s="201" t="s">
        <v>72</v>
      </c>
      <c r="P20" s="4"/>
      <c r="Q20" s="4"/>
      <c r="R20" s="16"/>
      <c r="V20" s="5"/>
    </row>
    <row r="21" spans="2:205" ht="30" customHeight="1" x14ac:dyDescent="0.25">
      <c r="B21" s="206" t="str">
        <f>VLOOKUP(B19,C6:D16,2,0)</f>
        <v>سكرتير</v>
      </c>
      <c r="C21" s="206"/>
      <c r="D21" s="171" t="str">
        <f>VLOOKUP(B19,C6:E16,3,0)</f>
        <v>البنك الدولي</v>
      </c>
      <c r="E21" s="167" t="s">
        <v>64</v>
      </c>
      <c r="F21" s="167"/>
      <c r="G21" s="62" t="s">
        <v>46</v>
      </c>
      <c r="H21" s="63" t="s">
        <v>47</v>
      </c>
      <c r="I21" s="60" t="s">
        <v>6</v>
      </c>
      <c r="J21" s="64" t="s">
        <v>7</v>
      </c>
      <c r="K21" s="64" t="s">
        <v>22</v>
      </c>
      <c r="L21" s="80" t="s">
        <v>78</v>
      </c>
      <c r="M21" s="65" t="s">
        <v>7</v>
      </c>
      <c r="N21" s="65" t="s">
        <v>22</v>
      </c>
      <c r="O21" s="201"/>
      <c r="R21" s="16"/>
    </row>
    <row r="22" spans="2:205" ht="18" x14ac:dyDescent="0.2">
      <c r="B22" s="206"/>
      <c r="C22" s="206"/>
      <c r="D22" s="171"/>
      <c r="E22" s="168">
        <f>VLOOKUP(B19,C6:F16,4,0)</f>
        <v>8.3333333333333304</v>
      </c>
      <c r="F22" s="168"/>
      <c r="G22" s="59">
        <f>VLOOKUP(B19,C6:G16,5,0)</f>
        <v>-0.3333333333333357</v>
      </c>
      <c r="H22" s="59">
        <f>VLOOKUP(B19,C6:H16,6,0)</f>
        <v>0.3333333333333357</v>
      </c>
      <c r="I22" s="58">
        <f>VLOOKUP(B19,C6:N16,7,0)</f>
        <v>0</v>
      </c>
      <c r="J22" s="58">
        <f>VLOOKUP(B19,C6:N16,8,0)</f>
        <v>0</v>
      </c>
      <c r="K22" s="58">
        <f>VLOOKUP(B19,C6:N16,9,0)</f>
        <v>0</v>
      </c>
      <c r="L22" s="58">
        <f>VLOOKUP(B19,C6:N16,10,0)</f>
        <v>0</v>
      </c>
      <c r="M22" s="58">
        <f>VLOOKUP(B19,C6:N16,11,0)</f>
        <v>7</v>
      </c>
      <c r="N22" s="58">
        <f>VLOOKUP(B19,C6:N16,12,0)</f>
        <v>21</v>
      </c>
      <c r="O22" s="81">
        <f>VLOOKUP(B19,C6:O16,13,0)</f>
        <v>0</v>
      </c>
      <c r="R22" s="16"/>
    </row>
    <row r="23" spans="2:205" ht="18" x14ac:dyDescent="0.2">
      <c r="B23" s="169" t="s">
        <v>48</v>
      </c>
      <c r="C23" s="169"/>
      <c r="D23" s="169"/>
      <c r="E23" s="169"/>
      <c r="F23" s="170">
        <f>VLOOKUP(B19,C6:Q16,13,0)</f>
        <v>0</v>
      </c>
      <c r="G23" s="170"/>
      <c r="H23" s="200" t="s">
        <v>49</v>
      </c>
      <c r="I23" s="200"/>
      <c r="J23" s="200"/>
      <c r="K23" s="200"/>
      <c r="L23" s="166">
        <f>VLOOKUP(B19,C6:Q16,14,0)</f>
        <v>0</v>
      </c>
      <c r="M23" s="166"/>
      <c r="N23" s="166"/>
      <c r="O23" s="166"/>
      <c r="P23" s="4"/>
      <c r="Q23" s="4"/>
      <c r="R23" s="16"/>
    </row>
    <row r="24" spans="2:205" ht="18" x14ac:dyDescent="0.2">
      <c r="B24" s="169" t="s">
        <v>71</v>
      </c>
      <c r="C24" s="169"/>
      <c r="D24" s="169"/>
      <c r="E24" s="169"/>
      <c r="F24" s="202">
        <f>VLOOKUP(B19,C6:O16,12,0)</f>
        <v>21</v>
      </c>
      <c r="G24" s="202"/>
      <c r="H24" s="200" t="s">
        <v>51</v>
      </c>
      <c r="I24" s="200"/>
      <c r="J24" s="200"/>
      <c r="K24" s="200"/>
      <c r="L24" s="166">
        <f>VLOOKUP(B19,C6:R16,15,0)</f>
        <v>0</v>
      </c>
      <c r="M24" s="166"/>
      <c r="N24" s="166"/>
      <c r="O24" s="166"/>
      <c r="R24" s="16"/>
    </row>
    <row r="25" spans="2:205" ht="38.25" customHeight="1" x14ac:dyDescent="0.2">
      <c r="B25" s="198" t="s">
        <v>83</v>
      </c>
      <c r="C25" s="198"/>
      <c r="D25" s="198"/>
      <c r="E25" s="198"/>
      <c r="F25" s="198"/>
      <c r="G25" s="198"/>
      <c r="H25" s="199">
        <f>VLOOKUP(B19,'حصر شهري'!A3:M14,11,0)</f>
        <v>2999.9999999999991</v>
      </c>
      <c r="I25" s="199"/>
      <c r="J25" s="199"/>
      <c r="K25" s="199"/>
      <c r="L25" s="199"/>
      <c r="M25" s="199"/>
      <c r="N25" s="199"/>
      <c r="O25" s="199"/>
      <c r="R25" s="16"/>
    </row>
    <row r="26" spans="2:205" ht="23.25" x14ac:dyDescent="0.2">
      <c r="O26" s="55"/>
      <c r="R26" s="16"/>
    </row>
    <row r="27" spans="2:205" ht="23.25" x14ac:dyDescent="0.2">
      <c r="O27" s="55"/>
      <c r="R27" s="16"/>
    </row>
    <row r="28" spans="2:205" ht="30.75" customHeight="1" x14ac:dyDescent="0.2">
      <c r="P28" s="16"/>
      <c r="S28" s="2"/>
    </row>
    <row r="29" spans="2:205" x14ac:dyDescent="0.2">
      <c r="P29" s="16"/>
      <c r="S29" s="2"/>
    </row>
    <row r="30" spans="2:205" x14ac:dyDescent="0.2">
      <c r="P30" s="16"/>
      <c r="S30" s="2"/>
    </row>
    <row r="31" spans="2:205" ht="12" customHeight="1" x14ac:dyDescent="0.2">
      <c r="P31" s="16"/>
      <c r="S31" s="2"/>
    </row>
    <row r="32" spans="2:205" ht="12" customHeight="1" x14ac:dyDescent="0.2">
      <c r="P32" s="16"/>
      <c r="S32" s="2"/>
    </row>
    <row r="33" spans="1:19" x14ac:dyDescent="0.2">
      <c r="S33" s="2"/>
    </row>
    <row r="34" spans="1:19" ht="12" customHeight="1" x14ac:dyDescent="0.2">
      <c r="S34" s="2"/>
    </row>
    <row r="35" spans="1:19" ht="12" customHeight="1" x14ac:dyDescent="0.2">
      <c r="S35" s="2"/>
    </row>
    <row r="36" spans="1:19" x14ac:dyDescent="0.2">
      <c r="S36" s="2"/>
    </row>
    <row r="37" spans="1:19" ht="12" customHeight="1" x14ac:dyDescent="0.2">
      <c r="O37" s="5"/>
      <c r="P37" s="5"/>
      <c r="S37" s="2"/>
    </row>
    <row r="38" spans="1:19" ht="12" customHeight="1" x14ac:dyDescent="0.2">
      <c r="O38" s="5"/>
      <c r="P38" s="5"/>
      <c r="S38" s="2"/>
    </row>
    <row r="39" spans="1:19" x14ac:dyDescent="0.2">
      <c r="O39" s="5"/>
      <c r="P39" s="5"/>
      <c r="S39" s="2"/>
    </row>
    <row r="40" spans="1:19" ht="12" customHeight="1" x14ac:dyDescent="0.2">
      <c r="J40" s="3"/>
      <c r="K40" s="3"/>
      <c r="P40" s="5"/>
      <c r="Q40" s="5"/>
      <c r="R40" s="5"/>
    </row>
    <row r="41" spans="1:19" ht="12.75" customHeight="1" x14ac:dyDescent="0.2">
      <c r="J41" s="3"/>
      <c r="K41" s="3"/>
      <c r="P41" s="68"/>
      <c r="Q41" s="68"/>
      <c r="R41" s="68"/>
    </row>
    <row r="42" spans="1:19" ht="12.75" x14ac:dyDescent="0.2">
      <c r="J42" s="3"/>
      <c r="K42" s="3"/>
      <c r="P42" s="68"/>
      <c r="Q42" s="68"/>
      <c r="R42" s="16"/>
    </row>
    <row r="43" spans="1:19" ht="12" customHeight="1" x14ac:dyDescent="0.2">
      <c r="J43" s="3"/>
      <c r="K43" s="3"/>
      <c r="R43" s="16"/>
    </row>
    <row r="44" spans="1:19" ht="12" customHeight="1" x14ac:dyDescent="0.2">
      <c r="A44" s="5"/>
      <c r="B44" s="5"/>
      <c r="C44" s="5"/>
      <c r="D44" s="5"/>
      <c r="E44" s="5"/>
      <c r="F44" s="5"/>
      <c r="G44" s="5"/>
      <c r="H44" s="5"/>
      <c r="I44" s="5"/>
      <c r="J44" s="6"/>
      <c r="K44" s="6"/>
      <c r="L44" s="5"/>
      <c r="M44" s="5"/>
      <c r="N44" s="5"/>
      <c r="O44" s="5"/>
      <c r="P44" s="5"/>
      <c r="Q44" s="5"/>
      <c r="R44" s="5"/>
    </row>
    <row r="45" spans="1:19" x14ac:dyDescent="0.2">
      <c r="A45" s="5"/>
      <c r="B45" s="5"/>
      <c r="C45" s="5"/>
      <c r="D45" s="5"/>
      <c r="E45" s="5"/>
      <c r="F45" s="5"/>
      <c r="G45" s="5"/>
      <c r="H45" s="5"/>
      <c r="I45" s="5"/>
      <c r="J45" s="6"/>
      <c r="K45" s="6"/>
      <c r="L45" s="5"/>
      <c r="M45" s="5"/>
      <c r="N45" s="5"/>
      <c r="O45" s="5"/>
      <c r="P45" s="5"/>
      <c r="Q45" s="5"/>
      <c r="R45" s="5"/>
    </row>
    <row r="46" spans="1:19" ht="12" customHeight="1" x14ac:dyDescent="0.2">
      <c r="A46" s="5"/>
      <c r="B46" s="5"/>
      <c r="C46" s="5"/>
      <c r="D46" s="5"/>
      <c r="E46" s="5"/>
      <c r="F46" s="5"/>
      <c r="G46" s="5"/>
      <c r="H46" s="5"/>
      <c r="I46" s="5"/>
      <c r="J46" s="7"/>
      <c r="K46" s="7"/>
      <c r="L46" s="5"/>
      <c r="M46" s="5"/>
      <c r="N46" s="5"/>
      <c r="O46" s="5"/>
      <c r="P46" s="5"/>
      <c r="Q46" s="5"/>
      <c r="R46" s="5"/>
    </row>
    <row r="47" spans="1:19" ht="12" customHeight="1" x14ac:dyDescent="0.2">
      <c r="A47" s="5"/>
      <c r="B47" s="5"/>
      <c r="C47" s="5"/>
      <c r="D47" s="5"/>
      <c r="E47" s="5"/>
      <c r="F47" s="5"/>
      <c r="G47" s="5"/>
      <c r="H47" s="5"/>
      <c r="I47" s="5"/>
      <c r="J47" s="7"/>
      <c r="K47" s="7"/>
      <c r="L47" s="5"/>
      <c r="M47" s="5"/>
      <c r="N47" s="5"/>
      <c r="O47" s="5"/>
      <c r="P47" s="5"/>
      <c r="Q47" s="5"/>
      <c r="R47" s="5"/>
    </row>
    <row r="48" spans="1:19" ht="15.75" customHeight="1" x14ac:dyDescent="0.2">
      <c r="L48" s="68"/>
      <c r="M48" s="68"/>
      <c r="N48" s="68"/>
      <c r="O48" s="68"/>
      <c r="P48" s="5"/>
      <c r="Q48" s="5"/>
      <c r="R48" s="5"/>
    </row>
    <row r="49" spans="2:19" ht="12" customHeight="1" x14ac:dyDescent="0.2">
      <c r="L49" s="68"/>
      <c r="M49" s="68"/>
      <c r="N49" s="68"/>
      <c r="O49" s="68"/>
      <c r="P49" s="5"/>
      <c r="Q49" s="5"/>
      <c r="R49" s="5"/>
      <c r="S49" s="2"/>
    </row>
    <row r="50" spans="2:19" ht="12" customHeight="1" x14ac:dyDescent="0.2">
      <c r="P50" s="5"/>
      <c r="Q50" s="5"/>
      <c r="R50" s="5"/>
      <c r="S50" s="2"/>
    </row>
    <row r="51" spans="2:19" x14ac:dyDescent="0.2">
      <c r="B51" s="5"/>
      <c r="C51" s="5"/>
      <c r="L51" s="5"/>
      <c r="M51" s="5"/>
      <c r="N51" s="5"/>
      <c r="O51" s="5"/>
      <c r="P51" s="5"/>
      <c r="Q51" s="5"/>
      <c r="R51" s="5"/>
    </row>
    <row r="52" spans="2:19" ht="12" customHeight="1" x14ac:dyDescent="0.2">
      <c r="B52" s="5"/>
      <c r="C52" s="5"/>
      <c r="D52" s="5"/>
      <c r="E52" s="5"/>
      <c r="F52" s="5"/>
      <c r="G52" s="5"/>
      <c r="H52" s="5"/>
      <c r="I52" s="5"/>
      <c r="J52" s="5"/>
      <c r="K52" s="5"/>
      <c r="L52" s="5"/>
      <c r="M52" s="5"/>
      <c r="N52" s="5"/>
      <c r="O52" s="5"/>
      <c r="P52" s="5"/>
      <c r="Q52" s="5"/>
      <c r="R52" s="5"/>
    </row>
    <row r="53" spans="2:19" ht="12" customHeight="1" x14ac:dyDescent="0.2">
      <c r="B53" s="5"/>
      <c r="C53" s="5"/>
      <c r="D53" s="5"/>
      <c r="E53" s="5"/>
      <c r="F53" s="5"/>
      <c r="G53" s="5"/>
      <c r="H53" s="5"/>
      <c r="I53" s="5"/>
      <c r="J53" s="5"/>
      <c r="K53" s="5"/>
      <c r="L53" s="5"/>
      <c r="M53" s="5"/>
      <c r="N53" s="5"/>
      <c r="O53" s="5"/>
      <c r="P53" s="5"/>
      <c r="Q53" s="5"/>
      <c r="R53" s="5"/>
    </row>
    <row r="54" spans="2:19" x14ac:dyDescent="0.2">
      <c r="B54" s="5"/>
      <c r="C54" s="5"/>
      <c r="D54" s="5"/>
      <c r="E54" s="5"/>
      <c r="F54" s="5"/>
      <c r="G54" s="5"/>
      <c r="H54" s="5"/>
      <c r="I54" s="5"/>
      <c r="J54" s="5"/>
      <c r="K54" s="5"/>
      <c r="L54" s="5"/>
      <c r="M54" s="5"/>
      <c r="N54" s="5"/>
      <c r="O54" s="5"/>
      <c r="P54" s="5"/>
      <c r="Q54" s="5"/>
      <c r="R54" s="5"/>
    </row>
    <row r="55" spans="2:19" ht="12" customHeight="1" x14ac:dyDescent="0.2">
      <c r="B55" s="5"/>
      <c r="C55" s="5"/>
      <c r="D55" s="5"/>
      <c r="E55" s="5"/>
      <c r="F55" s="5"/>
      <c r="G55" s="5"/>
      <c r="H55" s="5"/>
      <c r="I55" s="5"/>
      <c r="J55" s="5"/>
      <c r="K55" s="5"/>
      <c r="L55" s="5"/>
      <c r="M55" s="5"/>
      <c r="N55" s="5"/>
      <c r="O55" s="5"/>
      <c r="P55" s="5"/>
      <c r="Q55" s="5"/>
      <c r="R55" s="5"/>
    </row>
    <row r="56" spans="2:19" ht="12" customHeight="1" x14ac:dyDescent="0.2">
      <c r="B56" s="5"/>
      <c r="C56" s="5"/>
      <c r="D56" s="5"/>
      <c r="E56" s="5"/>
      <c r="F56" s="5"/>
      <c r="G56" s="5"/>
      <c r="H56" s="5"/>
      <c r="I56" s="5"/>
      <c r="J56" s="5"/>
      <c r="K56" s="5"/>
      <c r="L56" s="5"/>
      <c r="M56" s="5"/>
      <c r="N56" s="5"/>
      <c r="O56" s="5"/>
      <c r="P56" s="5"/>
      <c r="Q56" s="5"/>
      <c r="R56" s="5"/>
    </row>
    <row r="57" spans="2:19" x14ac:dyDescent="0.2">
      <c r="B57" s="5"/>
      <c r="C57" s="5"/>
      <c r="D57" s="5"/>
      <c r="E57" s="5"/>
      <c r="F57" s="5"/>
      <c r="G57" s="5"/>
      <c r="H57" s="5"/>
      <c r="I57" s="5"/>
      <c r="J57" s="5"/>
      <c r="K57" s="5"/>
      <c r="L57" s="5"/>
      <c r="M57" s="5"/>
      <c r="N57" s="5"/>
      <c r="O57" s="5"/>
      <c r="P57" s="5"/>
      <c r="Q57" s="5"/>
      <c r="R57" s="5"/>
    </row>
    <row r="58" spans="2:19" ht="12" customHeight="1" x14ac:dyDescent="0.2">
      <c r="B58" s="5"/>
      <c r="C58" s="5"/>
      <c r="D58" s="5"/>
      <c r="E58" s="5"/>
      <c r="F58" s="5"/>
      <c r="G58" s="5"/>
      <c r="H58" s="5"/>
      <c r="I58" s="5"/>
      <c r="J58" s="5"/>
      <c r="K58" s="5"/>
      <c r="L58" s="5"/>
      <c r="M58" s="5"/>
      <c r="N58" s="5"/>
      <c r="O58" s="5"/>
      <c r="P58" s="5"/>
      <c r="Q58" s="5"/>
      <c r="R58" s="5"/>
    </row>
    <row r="59" spans="2:19" ht="12" customHeight="1" x14ac:dyDescent="0.2">
      <c r="B59" s="5"/>
      <c r="C59" s="5"/>
      <c r="D59" s="5"/>
      <c r="E59" s="5"/>
      <c r="F59" s="5"/>
      <c r="G59" s="5"/>
      <c r="H59" s="5"/>
      <c r="I59" s="5"/>
      <c r="J59" s="5"/>
      <c r="K59" s="5"/>
      <c r="L59" s="5"/>
      <c r="M59" s="5"/>
      <c r="N59" s="5"/>
      <c r="O59" s="5"/>
      <c r="P59" s="5"/>
      <c r="Q59" s="5"/>
      <c r="R59" s="5"/>
    </row>
    <row r="60" spans="2:19" x14ac:dyDescent="0.2">
      <c r="B60" s="5"/>
      <c r="C60" s="5"/>
      <c r="D60" s="5"/>
      <c r="E60" s="5"/>
      <c r="F60" s="5"/>
      <c r="G60" s="5"/>
      <c r="H60" s="5"/>
      <c r="I60" s="5"/>
      <c r="J60" s="5"/>
      <c r="K60" s="5"/>
      <c r="L60" s="5"/>
      <c r="M60" s="5"/>
      <c r="N60" s="5"/>
      <c r="O60" s="5"/>
      <c r="P60" s="5"/>
      <c r="Q60" s="5"/>
      <c r="R60" s="5"/>
    </row>
    <row r="61" spans="2:19" ht="12" customHeight="1" x14ac:dyDescent="0.2">
      <c r="B61" s="5"/>
      <c r="C61" s="5"/>
      <c r="D61" s="5"/>
      <c r="E61" s="5"/>
      <c r="F61" s="5"/>
      <c r="G61" s="5"/>
      <c r="H61" s="5"/>
      <c r="I61" s="5"/>
      <c r="J61" s="5"/>
      <c r="K61" s="5"/>
      <c r="L61" s="5"/>
      <c r="M61" s="5"/>
      <c r="N61" s="5"/>
      <c r="O61" s="5"/>
      <c r="P61" s="5"/>
      <c r="Q61" s="5"/>
      <c r="R61" s="5"/>
    </row>
    <row r="62" spans="2:19" ht="12" customHeight="1" x14ac:dyDescent="0.2">
      <c r="B62" s="5"/>
      <c r="C62" s="5"/>
      <c r="D62" s="5"/>
      <c r="E62" s="5"/>
      <c r="F62" s="5"/>
      <c r="G62" s="5"/>
      <c r="H62" s="5"/>
      <c r="I62" s="5"/>
      <c r="J62" s="5"/>
      <c r="K62" s="5"/>
      <c r="L62" s="5"/>
      <c r="M62" s="5"/>
      <c r="N62" s="5"/>
      <c r="O62" s="5"/>
      <c r="P62" s="5"/>
      <c r="Q62" s="5"/>
      <c r="R62" s="5"/>
    </row>
    <row r="63" spans="2:19" x14ac:dyDescent="0.2">
      <c r="B63" s="5"/>
      <c r="C63" s="5"/>
      <c r="D63" s="5"/>
      <c r="E63" s="5"/>
      <c r="F63" s="5"/>
      <c r="G63" s="5"/>
      <c r="H63" s="5"/>
      <c r="I63" s="5"/>
      <c r="J63" s="5"/>
      <c r="K63" s="5"/>
      <c r="L63" s="5"/>
      <c r="M63" s="5"/>
      <c r="N63" s="5"/>
      <c r="O63" s="5"/>
      <c r="P63" s="5"/>
      <c r="Q63" s="5"/>
      <c r="R63" s="5"/>
    </row>
    <row r="64" spans="2:19" ht="12" customHeight="1" x14ac:dyDescent="0.2">
      <c r="B64" s="5"/>
      <c r="C64" s="5"/>
      <c r="D64" s="5"/>
      <c r="E64" s="5"/>
      <c r="F64" s="5"/>
      <c r="G64" s="5"/>
      <c r="H64" s="5"/>
      <c r="I64" s="5"/>
      <c r="J64" s="5"/>
      <c r="K64" s="5"/>
      <c r="L64" s="5"/>
      <c r="M64" s="5"/>
      <c r="N64" s="5"/>
      <c r="O64" s="5"/>
      <c r="P64" s="5"/>
      <c r="Q64" s="5"/>
      <c r="R64" s="5"/>
    </row>
    <row r="65" spans="2:18" ht="12" customHeight="1" x14ac:dyDescent="0.2">
      <c r="B65" s="5"/>
      <c r="C65" s="5"/>
      <c r="D65" s="5"/>
      <c r="E65" s="5"/>
      <c r="F65" s="5"/>
      <c r="G65" s="5"/>
      <c r="H65" s="5"/>
      <c r="I65" s="5"/>
      <c r="J65" s="5"/>
      <c r="K65" s="5"/>
      <c r="L65" s="5"/>
      <c r="M65" s="5"/>
      <c r="N65" s="5"/>
      <c r="O65" s="5"/>
      <c r="P65" s="5"/>
      <c r="Q65" s="5"/>
      <c r="R65" s="5"/>
    </row>
    <row r="66" spans="2:18" x14ac:dyDescent="0.2">
      <c r="B66" s="5"/>
      <c r="C66" s="5"/>
      <c r="D66" s="5"/>
      <c r="E66" s="5"/>
      <c r="F66" s="5"/>
      <c r="G66" s="5"/>
      <c r="H66" s="5"/>
      <c r="I66" s="5"/>
      <c r="J66" s="5"/>
      <c r="K66" s="5"/>
      <c r="L66" s="5"/>
      <c r="M66" s="5"/>
      <c r="N66" s="5"/>
      <c r="O66" s="5"/>
      <c r="P66" s="5"/>
      <c r="Q66" s="5"/>
      <c r="R66" s="5"/>
    </row>
    <row r="67" spans="2:18" ht="12" customHeight="1" x14ac:dyDescent="0.2">
      <c r="B67" s="5"/>
      <c r="C67" s="5"/>
      <c r="D67" s="5"/>
      <c r="E67" s="5"/>
      <c r="F67" s="5"/>
      <c r="G67" s="5"/>
      <c r="H67" s="5"/>
      <c r="I67" s="5"/>
      <c r="J67" s="5"/>
      <c r="K67" s="5"/>
      <c r="L67" s="5"/>
      <c r="M67" s="5"/>
      <c r="N67" s="5"/>
      <c r="O67" s="5"/>
      <c r="P67" s="5"/>
      <c r="Q67" s="5"/>
      <c r="R67" s="5"/>
    </row>
    <row r="68" spans="2:18" ht="12" customHeight="1" x14ac:dyDescent="0.2">
      <c r="B68" s="5"/>
      <c r="C68" s="5"/>
      <c r="D68" s="5"/>
      <c r="E68" s="5"/>
      <c r="F68" s="5"/>
      <c r="G68" s="5"/>
      <c r="H68" s="5"/>
      <c r="I68" s="5"/>
      <c r="J68" s="5"/>
      <c r="K68" s="5"/>
      <c r="L68" s="5"/>
      <c r="M68" s="5"/>
      <c r="N68" s="5"/>
      <c r="O68" s="5"/>
      <c r="P68" s="5"/>
      <c r="Q68" s="5"/>
      <c r="R68" s="5"/>
    </row>
    <row r="69" spans="2:18" x14ac:dyDescent="0.2">
      <c r="B69" s="5"/>
      <c r="C69" s="5"/>
      <c r="D69" s="5"/>
      <c r="E69" s="5"/>
      <c r="F69" s="5"/>
      <c r="G69" s="5"/>
      <c r="H69" s="5"/>
      <c r="I69" s="5"/>
      <c r="J69" s="5"/>
      <c r="K69" s="5"/>
      <c r="L69" s="5"/>
      <c r="M69" s="5"/>
      <c r="N69" s="5"/>
      <c r="O69" s="5"/>
      <c r="P69" s="5"/>
      <c r="Q69" s="5"/>
      <c r="R69" s="5"/>
    </row>
    <row r="70" spans="2:18" ht="12" customHeight="1" x14ac:dyDescent="0.2">
      <c r="B70" s="5"/>
      <c r="C70" s="5"/>
      <c r="D70" s="5"/>
      <c r="E70" s="5"/>
      <c r="F70" s="5"/>
      <c r="G70" s="5"/>
      <c r="H70" s="5"/>
      <c r="I70" s="5"/>
      <c r="J70" s="5"/>
      <c r="K70" s="5"/>
      <c r="L70" s="5"/>
      <c r="M70" s="5"/>
      <c r="N70" s="5"/>
      <c r="O70" s="5"/>
      <c r="P70" s="5"/>
      <c r="Q70" s="5"/>
      <c r="R70" s="5"/>
    </row>
    <row r="71" spans="2:18" ht="12" customHeight="1" x14ac:dyDescent="0.2">
      <c r="B71" s="5"/>
      <c r="C71" s="5"/>
      <c r="D71" s="5"/>
      <c r="E71" s="5"/>
      <c r="F71" s="5"/>
      <c r="G71" s="5"/>
      <c r="H71" s="5"/>
      <c r="I71" s="5"/>
      <c r="J71" s="5"/>
      <c r="K71" s="5"/>
      <c r="L71" s="5"/>
      <c r="M71" s="5"/>
      <c r="N71" s="5"/>
      <c r="O71" s="5"/>
      <c r="P71" s="5"/>
      <c r="Q71" s="5"/>
      <c r="R71" s="5"/>
    </row>
    <row r="72" spans="2:18" x14ac:dyDescent="0.2">
      <c r="B72" s="5"/>
      <c r="C72" s="5"/>
      <c r="D72" s="5"/>
      <c r="E72" s="5"/>
      <c r="F72" s="5"/>
      <c r="G72" s="5"/>
      <c r="H72" s="5"/>
      <c r="I72" s="5"/>
      <c r="J72" s="5"/>
      <c r="K72" s="5"/>
      <c r="L72" s="5"/>
      <c r="M72" s="5"/>
      <c r="N72" s="5"/>
      <c r="O72" s="5"/>
      <c r="P72" s="5"/>
      <c r="Q72" s="5"/>
      <c r="R72" s="5"/>
    </row>
    <row r="73" spans="2:18" ht="12" customHeight="1" x14ac:dyDescent="0.2">
      <c r="B73" s="5"/>
      <c r="C73" s="5"/>
      <c r="D73" s="5"/>
      <c r="E73" s="5"/>
      <c r="F73" s="5"/>
      <c r="G73" s="5"/>
      <c r="H73" s="5"/>
      <c r="I73" s="5"/>
      <c r="J73" s="5"/>
      <c r="K73" s="5"/>
      <c r="L73" s="5"/>
      <c r="M73" s="5"/>
      <c r="N73" s="5"/>
      <c r="O73" s="5"/>
      <c r="P73" s="5"/>
      <c r="Q73" s="5"/>
      <c r="R73" s="5"/>
    </row>
    <row r="74" spans="2:18" ht="12" customHeight="1" x14ac:dyDescent="0.2">
      <c r="B74" s="5"/>
      <c r="C74" s="5"/>
      <c r="D74" s="5"/>
      <c r="E74" s="5"/>
      <c r="F74" s="5"/>
      <c r="G74" s="5"/>
      <c r="H74" s="5"/>
      <c r="I74" s="5"/>
      <c r="J74" s="5"/>
      <c r="K74" s="5"/>
      <c r="L74" s="5"/>
      <c r="M74" s="5"/>
      <c r="N74" s="5"/>
      <c r="O74" s="5"/>
      <c r="P74" s="5"/>
      <c r="Q74" s="5"/>
      <c r="R74" s="5"/>
    </row>
    <row r="75" spans="2:18" x14ac:dyDescent="0.2">
      <c r="B75" s="5"/>
      <c r="C75" s="5"/>
      <c r="D75" s="5"/>
      <c r="E75" s="5"/>
      <c r="F75" s="5"/>
      <c r="G75" s="5"/>
      <c r="H75" s="5"/>
      <c r="I75" s="5"/>
      <c r="J75" s="5"/>
      <c r="K75" s="5"/>
      <c r="L75" s="5"/>
      <c r="M75" s="5"/>
      <c r="N75" s="5"/>
      <c r="O75" s="5"/>
      <c r="P75" s="5"/>
      <c r="Q75" s="5"/>
      <c r="R75" s="5"/>
    </row>
    <row r="76" spans="2:18" ht="12" customHeight="1" x14ac:dyDescent="0.2">
      <c r="B76" s="5"/>
      <c r="C76" s="5"/>
      <c r="D76" s="5"/>
      <c r="E76" s="5"/>
      <c r="F76" s="5"/>
      <c r="G76" s="5"/>
      <c r="H76" s="5"/>
      <c r="I76" s="5"/>
      <c r="J76" s="5"/>
      <c r="K76" s="5"/>
      <c r="L76" s="5"/>
      <c r="M76" s="5"/>
      <c r="N76" s="5"/>
      <c r="O76" s="5"/>
    </row>
    <row r="77" spans="2:18" ht="12" customHeight="1" x14ac:dyDescent="0.2">
      <c r="B77" s="5"/>
      <c r="C77" s="5"/>
      <c r="D77" s="5"/>
      <c r="E77" s="5"/>
      <c r="F77" s="5"/>
      <c r="G77" s="5"/>
      <c r="H77" s="5"/>
      <c r="I77" s="5"/>
      <c r="J77" s="5"/>
      <c r="K77" s="5"/>
      <c r="L77" s="5"/>
      <c r="M77" s="5"/>
      <c r="N77" s="5"/>
      <c r="O77" s="5"/>
    </row>
    <row r="78" spans="2:18" x14ac:dyDescent="0.2">
      <c r="B78" s="5"/>
      <c r="C78" s="5"/>
      <c r="D78" s="5"/>
      <c r="E78" s="5"/>
      <c r="F78" s="5"/>
      <c r="G78" s="5"/>
      <c r="H78" s="5"/>
      <c r="I78" s="5"/>
      <c r="J78" s="5"/>
      <c r="K78" s="5"/>
      <c r="L78" s="5"/>
      <c r="M78" s="5"/>
      <c r="N78" s="5"/>
      <c r="O78" s="5"/>
    </row>
    <row r="79" spans="2:18" ht="12" customHeight="1" x14ac:dyDescent="0.2">
      <c r="B79" s="5"/>
      <c r="C79" s="5"/>
      <c r="D79" s="5"/>
      <c r="E79" s="5"/>
      <c r="F79" s="5"/>
      <c r="G79" s="5"/>
      <c r="H79" s="5"/>
      <c r="I79" s="5"/>
      <c r="J79" s="5"/>
      <c r="K79" s="5"/>
      <c r="L79" s="5"/>
      <c r="M79" s="5"/>
      <c r="N79" s="5"/>
      <c r="O79" s="5"/>
    </row>
    <row r="80" spans="2:18" ht="12" customHeight="1" x14ac:dyDescent="0.2">
      <c r="B80" s="5"/>
      <c r="C80" s="5"/>
      <c r="D80" s="5"/>
      <c r="E80" s="5"/>
      <c r="F80" s="5"/>
      <c r="G80" s="5"/>
      <c r="H80" s="5"/>
      <c r="I80" s="5"/>
      <c r="J80" s="5"/>
      <c r="K80" s="5"/>
      <c r="L80" s="5"/>
      <c r="M80" s="5"/>
      <c r="N80" s="5"/>
      <c r="O80" s="5"/>
    </row>
    <row r="81" spans="1:15" x14ac:dyDescent="0.2">
      <c r="B81" s="5"/>
      <c r="C81" s="5"/>
      <c r="D81" s="5"/>
      <c r="E81" s="5"/>
      <c r="F81" s="5"/>
      <c r="G81" s="5"/>
      <c r="H81" s="5"/>
      <c r="I81" s="5"/>
      <c r="J81" s="5"/>
      <c r="K81" s="5"/>
      <c r="L81" s="5"/>
      <c r="M81" s="5"/>
      <c r="N81" s="5"/>
      <c r="O81" s="5"/>
    </row>
    <row r="82" spans="1:15" ht="12" customHeight="1" x14ac:dyDescent="0.2">
      <c r="A82" s="5"/>
      <c r="B82" s="5"/>
      <c r="C82" s="5"/>
      <c r="D82" s="5"/>
      <c r="E82" s="5"/>
      <c r="F82" s="5"/>
      <c r="G82" s="5"/>
      <c r="H82" s="5"/>
      <c r="I82" s="5"/>
      <c r="J82" s="5"/>
      <c r="K82" s="5"/>
      <c r="L82" s="5"/>
      <c r="M82" s="5"/>
      <c r="N82" s="5"/>
      <c r="O82" s="5"/>
    </row>
  </sheetData>
  <sheetProtection algorithmName="SHA-512" hashValue="y9DHvMA2Qpcksyvxd4s6/mBD5PVlcbXybgrEXuk8IjDyD4GCXUc8sQg2d8Fldl1iBeiOq/sxSP34JxVB1ktYbw==" saltValue="G2qnHXn7Uyso/Tv2kA3LeQ==" spinCount="100000" sheet="1" objects="1" scenarios="1"/>
  <mergeCells count="38">
    <mergeCell ref="B25:G25"/>
    <mergeCell ref="H25:O25"/>
    <mergeCell ref="H23:K23"/>
    <mergeCell ref="H24:K24"/>
    <mergeCell ref="O20:O21"/>
    <mergeCell ref="B24:E24"/>
    <mergeCell ref="F24:G24"/>
    <mergeCell ref="M20:N20"/>
    <mergeCell ref="J20:L20"/>
    <mergeCell ref="E20:I20"/>
    <mergeCell ref="B21:C22"/>
    <mergeCell ref="B20:C20"/>
    <mergeCell ref="B1:D1"/>
    <mergeCell ref="J1:L1"/>
    <mergeCell ref="J2:L2"/>
    <mergeCell ref="O4:O5"/>
    <mergeCell ref="B3:R3"/>
    <mergeCell ref="C4:E4"/>
    <mergeCell ref="G1:I1"/>
    <mergeCell ref="G2:I2"/>
    <mergeCell ref="B2:D2"/>
    <mergeCell ref="E1:F2"/>
    <mergeCell ref="M1:O2"/>
    <mergeCell ref="F4:I4"/>
    <mergeCell ref="J4:L4"/>
    <mergeCell ref="M4:N4"/>
    <mergeCell ref="P4:R4"/>
    <mergeCell ref="P1:R1"/>
    <mergeCell ref="P2:R2"/>
    <mergeCell ref="B19:O19"/>
    <mergeCell ref="B18:O18"/>
    <mergeCell ref="L23:O23"/>
    <mergeCell ref="L24:O24"/>
    <mergeCell ref="E21:F21"/>
    <mergeCell ref="E22:F22"/>
    <mergeCell ref="B23:E23"/>
    <mergeCell ref="F23:G23"/>
    <mergeCell ref="D21:D22"/>
  </mergeCells>
  <conditionalFormatting sqref="E22:F22">
    <cfRule type="cellIs" dxfId="28" priority="2" operator="between">
      <formula>0</formula>
      <formula>8.66665509259259</formula>
    </cfRule>
    <cfRule type="cellIs" dxfId="27" priority="4" operator="greaterThan">
      <formula>8.66666666666667</formula>
    </cfRule>
    <cfRule type="cellIs" dxfId="26" priority="6" operator="equal">
      <formula>8.66666666666667</formula>
    </cfRule>
  </conditionalFormatting>
  <conditionalFormatting sqref="F6:F16">
    <cfRule type="cellIs" dxfId="25" priority="3" operator="between">
      <formula>0</formula>
      <formula>8.66665509259259</formula>
    </cfRule>
    <cfRule type="cellIs" dxfId="24" priority="8" operator="greaterThan">
      <formula>8.66666666666667</formula>
    </cfRule>
    <cfRule type="cellIs" priority="9" operator="equal">
      <formula>8.66666666666667</formula>
    </cfRule>
  </conditionalFormatting>
  <conditionalFormatting sqref="I6:I16">
    <cfRule type="cellIs" dxfId="23" priority="35" operator="lessThan">
      <formula>1</formula>
    </cfRule>
  </conditionalFormatting>
  <conditionalFormatting sqref="I22">
    <cfRule type="cellIs" dxfId="22" priority="36" operator="lessThan">
      <formula>1</formula>
    </cfRule>
  </conditionalFormatting>
  <conditionalFormatting sqref="J6:J16">
    <cfRule type="cellIs" dxfId="21" priority="29" operator="greaterThan">
      <formula>6</formula>
    </cfRule>
    <cfRule type="cellIs" dxfId="20" priority="30" operator="between">
      <formula>4</formula>
      <formula>6</formula>
    </cfRule>
  </conditionalFormatting>
  <conditionalFormatting sqref="J22">
    <cfRule type="cellIs" dxfId="19" priority="21" operator="greaterThan">
      <formula>6</formula>
    </cfRule>
    <cfRule type="cellIs" dxfId="18" priority="22" operator="between">
      <formula>4</formula>
      <formula>6</formula>
    </cfRule>
  </conditionalFormatting>
  <conditionalFormatting sqref="K6:K16">
    <cfRule type="cellIs" dxfId="17" priority="16" operator="greaterThan">
      <formula>20</formula>
    </cfRule>
    <cfRule type="cellIs" dxfId="16" priority="17" operator="between">
      <formula>14</formula>
      <formula>20</formula>
    </cfRule>
  </conditionalFormatting>
  <conditionalFormatting sqref="K22">
    <cfRule type="cellIs" dxfId="15" priority="19" operator="greaterThan">
      <formula>20</formula>
    </cfRule>
    <cfRule type="cellIs" dxfId="14" priority="20" operator="between">
      <formula>14</formula>
      <formula>20</formula>
    </cfRule>
  </conditionalFormatting>
  <conditionalFormatting sqref="L6:L16">
    <cfRule type="cellIs" dxfId="13" priority="14" operator="greaterThan">
      <formula>3</formula>
    </cfRule>
    <cfRule type="cellIs" dxfId="12" priority="15" operator="between">
      <formula>1</formula>
      <formula>3</formula>
    </cfRule>
  </conditionalFormatting>
  <conditionalFormatting sqref="L22">
    <cfRule type="cellIs" dxfId="11" priority="27" operator="greaterThan">
      <formula>3</formula>
    </cfRule>
    <cfRule type="cellIs" dxfId="10" priority="28" operator="between">
      <formula>1</formula>
      <formula>3</formula>
    </cfRule>
  </conditionalFormatting>
  <conditionalFormatting sqref="M6:M16">
    <cfRule type="cellIs" dxfId="9" priority="67" operator="between">
      <formula>1</formula>
      <formula>3</formula>
    </cfRule>
  </conditionalFormatting>
  <conditionalFormatting sqref="M22">
    <cfRule type="cellIs" dxfId="8" priority="55" operator="between">
      <formula>1</formula>
      <formula>3</formula>
    </cfRule>
  </conditionalFormatting>
  <conditionalFormatting sqref="M6:N16">
    <cfRule type="cellIs" dxfId="7" priority="71" operator="lessThan">
      <formula>1</formula>
    </cfRule>
  </conditionalFormatting>
  <conditionalFormatting sqref="M22:N22">
    <cfRule type="cellIs" dxfId="6" priority="51" operator="lessThan">
      <formula>1</formula>
    </cfRule>
  </conditionalFormatting>
  <conditionalFormatting sqref="N6:N16">
    <cfRule type="cellIs" dxfId="5" priority="69" operator="between">
      <formula>1</formula>
      <formula>7</formula>
    </cfRule>
  </conditionalFormatting>
  <conditionalFormatting sqref="N22">
    <cfRule type="cellIs" dxfId="4" priority="52" operator="between">
      <formula>1</formula>
      <formula>7</formula>
    </cfRule>
  </conditionalFormatting>
  <conditionalFormatting sqref="O6:O16">
    <cfRule type="cellIs" dxfId="3" priority="39" operator="greaterThan">
      <formula>0</formula>
    </cfRule>
  </conditionalFormatting>
  <conditionalFormatting sqref="O22">
    <cfRule type="cellIs" dxfId="2" priority="13" operator="greaterThan">
      <formula>0</formula>
    </cfRule>
  </conditionalFormatting>
  <conditionalFormatting sqref="P6:R16">
    <cfRule type="cellIs" dxfId="1" priority="38" operator="greaterThan">
      <formula>0</formula>
    </cfRule>
  </conditionalFormatting>
  <conditionalFormatting sqref="S6:S16">
    <cfRule type="containsText" dxfId="0" priority="1" operator="containsText" text="GREAT">
      <formula>NOT(ISERROR(SEARCH("GREAT",S6)))</formula>
    </cfRule>
  </conditionalFormatting>
  <dataValidations count="1">
    <dataValidation type="list" allowBlank="1" showInputMessage="1" showErrorMessage="1" sqref="B19" xr:uid="{00000000-0002-0000-0000-000000000000}">
      <formula1>$C$6:$C$16</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AF5DAE9-0D7F-453E-AC46-A08BB36F63CA}">
          <x14:formula1>
            <xm:f>مراجع!$B$4:$B$15</xm:f>
          </x14:formula1>
          <xm:sqref>G2:I2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X38"/>
  <sheetViews>
    <sheetView rightToLeft="1" zoomScaleNormal="100" workbookViewId="0">
      <pane ySplit="5" topLeftCell="A6" activePane="bottomLeft" state="frozen"/>
      <selection pane="bottomLeft" activeCell="I6" sqref="I6"/>
    </sheetView>
  </sheetViews>
  <sheetFormatPr defaultColWidth="9.125" defaultRowHeight="24.95" customHeight="1" x14ac:dyDescent="0.2"/>
  <cols>
    <col min="1" max="1" width="9.375" style="86" customWidth="1"/>
    <col min="2" max="9" width="12.75" style="86" customWidth="1"/>
    <col min="10" max="11" width="9"/>
    <col min="12" max="12" width="33.125" style="85" customWidth="1"/>
    <col min="13" max="13" width="8.625" style="85" bestFit="1" customWidth="1"/>
    <col min="14" max="14" width="10.125" style="85" bestFit="1" customWidth="1"/>
    <col min="15" max="15" width="10" style="85" bestFit="1" customWidth="1"/>
    <col min="16" max="16" width="9.125" style="85" bestFit="1" customWidth="1"/>
    <col min="17" max="17" width="9.75" style="85" bestFit="1" customWidth="1"/>
    <col min="18" max="18" width="9" style="85" bestFit="1" customWidth="1"/>
    <col min="19" max="20" width="6.625" style="85" bestFit="1" customWidth="1"/>
    <col min="21" max="21" width="10.125" style="85" bestFit="1" customWidth="1"/>
    <col min="22" max="16384" width="9.125" style="85"/>
  </cols>
  <sheetData>
    <row r="1" spans="1:24" ht="21.95" customHeight="1" x14ac:dyDescent="0.2">
      <c r="A1" s="208" t="s">
        <v>43</v>
      </c>
      <c r="B1" s="208"/>
      <c r="C1" s="96" t="s">
        <v>82</v>
      </c>
      <c r="D1" s="209"/>
      <c r="E1" s="209"/>
      <c r="F1" s="209"/>
      <c r="G1" s="208" t="s">
        <v>21</v>
      </c>
      <c r="H1" s="208"/>
      <c r="I1" s="97" t="s">
        <v>82</v>
      </c>
      <c r="N1" s="89"/>
      <c r="O1" s="89"/>
      <c r="P1" s="89"/>
      <c r="Q1" s="89"/>
      <c r="R1" s="89"/>
      <c r="S1" s="89"/>
      <c r="T1" s="89"/>
      <c r="U1" s="89"/>
      <c r="V1" s="89"/>
      <c r="W1" s="89"/>
      <c r="X1" s="89"/>
    </row>
    <row r="2" spans="1:24" ht="21.95" customHeight="1" x14ac:dyDescent="0.2">
      <c r="A2" s="207" t="s">
        <v>52</v>
      </c>
      <c r="B2" s="207"/>
      <c r="C2" s="98" t="s">
        <v>82</v>
      </c>
      <c r="D2" s="209"/>
      <c r="E2" s="209"/>
      <c r="F2" s="209"/>
      <c r="G2" s="207" t="s">
        <v>53</v>
      </c>
      <c r="H2" s="207"/>
      <c r="I2" s="99">
        <v>15</v>
      </c>
      <c r="L2" s="118"/>
      <c r="O2" s="87"/>
      <c r="P2" s="88"/>
      <c r="Q2" s="88"/>
      <c r="R2" s="88"/>
      <c r="S2" s="88"/>
      <c r="T2" s="88"/>
      <c r="U2" s="88"/>
      <c r="V2" s="88"/>
      <c r="W2" s="88"/>
      <c r="X2" s="88"/>
    </row>
    <row r="3" spans="1:24" ht="45" customHeight="1" x14ac:dyDescent="0.2">
      <c r="A3" s="212" t="s">
        <v>26</v>
      </c>
      <c r="B3" s="212"/>
      <c r="C3" s="212"/>
      <c r="D3" s="212"/>
      <c r="E3" s="212"/>
      <c r="F3" s="212"/>
      <c r="G3" s="212"/>
      <c r="H3" s="212"/>
      <c r="I3" s="212"/>
      <c r="L3" s="86"/>
      <c r="M3" s="86"/>
    </row>
    <row r="4" spans="1:24" ht="41.25" customHeight="1" x14ac:dyDescent="0.2">
      <c r="A4" s="213" t="s">
        <v>4</v>
      </c>
      <c r="B4" s="213"/>
      <c r="C4" s="213" t="s">
        <v>42</v>
      </c>
      <c r="D4" s="213"/>
      <c r="E4" s="213"/>
      <c r="F4" s="144" t="s">
        <v>54</v>
      </c>
      <c r="G4" s="144"/>
      <c r="H4" s="214" t="s">
        <v>82</v>
      </c>
      <c r="I4" s="214"/>
      <c r="L4" s="86"/>
      <c r="M4" s="86"/>
    </row>
    <row r="5" spans="1:24" ht="21.95" customHeight="1" x14ac:dyDescent="0.2">
      <c r="A5" s="100" t="s">
        <v>56</v>
      </c>
      <c r="B5" s="100" t="s">
        <v>55</v>
      </c>
      <c r="C5" s="217"/>
      <c r="D5" s="102" t="s">
        <v>23</v>
      </c>
      <c r="E5" s="102" t="s">
        <v>24</v>
      </c>
      <c r="F5" s="103" t="s">
        <v>57</v>
      </c>
      <c r="G5" s="104" t="s">
        <v>58</v>
      </c>
      <c r="H5" s="102" t="s">
        <v>17</v>
      </c>
      <c r="I5" s="102" t="s">
        <v>25</v>
      </c>
    </row>
    <row r="6" spans="1:24" ht="21.95" customHeight="1" x14ac:dyDescent="0.2">
      <c r="A6" s="145">
        <f>'كـشـف حضور يومي'!D1</f>
        <v>1</v>
      </c>
      <c r="B6" s="146" t="str">
        <f>'كـشـف حضور يومي'!D2</f>
        <v>السبت</v>
      </c>
      <c r="C6" s="217"/>
      <c r="D6" s="105">
        <f>'كـشـف حضور يومي'!D4</f>
        <v>0.375</v>
      </c>
      <c r="E6" s="105">
        <f>'كـشـف حضور يومي'!E4</f>
        <v>0.70833333333333337</v>
      </c>
      <c r="F6" s="106">
        <f>H6-مراجع!$B$2</f>
        <v>0</v>
      </c>
      <c r="G6" s="106">
        <f>مراجع!$B$2-H6</f>
        <v>0</v>
      </c>
      <c r="H6" s="105">
        <f>SUM(E6-D6)</f>
        <v>0.33333333333333337</v>
      </c>
      <c r="I6" s="107">
        <f>'كـشـف حضور يومي'!I4</f>
        <v>0</v>
      </c>
      <c r="J6" s="85"/>
    </row>
    <row r="7" spans="1:24" ht="21.95" customHeight="1" x14ac:dyDescent="0.2">
      <c r="A7" s="145">
        <f>'كـشـف حضور يومي'!J1</f>
        <v>1</v>
      </c>
      <c r="B7" s="146" t="str">
        <f>'كـشـف حضور يومي'!J2</f>
        <v>السبت</v>
      </c>
      <c r="C7" s="217"/>
      <c r="D7" s="105">
        <f>'كـشـف حضور يومي'!J4</f>
        <v>0.375</v>
      </c>
      <c r="E7" s="105">
        <f>'كـشـف حضور يومي'!K4</f>
        <v>0.70833333333333337</v>
      </c>
      <c r="F7" s="106">
        <f>H7-مراجع!$B$2</f>
        <v>0</v>
      </c>
      <c r="G7" s="106">
        <f>مراجع!$B$2-H7</f>
        <v>0</v>
      </c>
      <c r="H7" s="105">
        <f>SUM(E7-D7)</f>
        <v>0.33333333333333337</v>
      </c>
      <c r="I7" s="107">
        <f>'كـشـف حضور يومي'!O4</f>
        <v>0</v>
      </c>
      <c r="J7" s="85"/>
    </row>
    <row r="8" spans="1:24" ht="21.95" customHeight="1" x14ac:dyDescent="0.2">
      <c r="A8" s="145">
        <f>'كـشـف حضور يومي'!P1</f>
        <v>1</v>
      </c>
      <c r="B8" s="146" t="str">
        <f>'كـشـف حضور يومي'!P2</f>
        <v>السبت</v>
      </c>
      <c r="C8" s="217"/>
      <c r="D8" s="105">
        <f>'كـشـف حضور يومي'!P4</f>
        <v>0.375</v>
      </c>
      <c r="E8" s="105">
        <f>'كـشـف حضور يومي'!Q4</f>
        <v>0.70833333333333337</v>
      </c>
      <c r="F8" s="106">
        <f>H8-مراجع!$B$2</f>
        <v>0</v>
      </c>
      <c r="G8" s="106">
        <f>مراجع!$B$2-H8</f>
        <v>0</v>
      </c>
      <c r="H8" s="105">
        <f t="shared" ref="H8:H36" si="0">SUM(E8-D8)</f>
        <v>0.33333333333333337</v>
      </c>
      <c r="I8" s="107">
        <f>'كـشـف حضور يومي'!U4</f>
        <v>0</v>
      </c>
      <c r="J8" s="85"/>
    </row>
    <row r="9" spans="1:24" ht="21.95" customHeight="1" x14ac:dyDescent="0.2">
      <c r="A9" s="145">
        <f>'كـشـف حضور يومي'!V1</f>
        <v>1</v>
      </c>
      <c r="B9" s="147" t="str">
        <f>'كـشـف حضور يومي'!V2</f>
        <v>السبت</v>
      </c>
      <c r="C9" s="217"/>
      <c r="D9" s="105">
        <f>'كـشـف حضور يومي'!V4</f>
        <v>0.375</v>
      </c>
      <c r="E9" s="105">
        <f>'كـشـف حضور يومي'!W4</f>
        <v>0.70833333333333337</v>
      </c>
      <c r="F9" s="106">
        <f>H9-مراجع!$B$2</f>
        <v>0</v>
      </c>
      <c r="G9" s="106">
        <f>مراجع!$B$2-H9</f>
        <v>0</v>
      </c>
      <c r="H9" s="105">
        <f t="shared" si="0"/>
        <v>0.33333333333333337</v>
      </c>
      <c r="I9" s="107">
        <f>'كـشـف حضور يومي'!AA4</f>
        <v>0</v>
      </c>
      <c r="J9" s="85"/>
    </row>
    <row r="10" spans="1:24" ht="21.95" customHeight="1" x14ac:dyDescent="0.2">
      <c r="A10" s="145">
        <f>'كـشـف حضور يومي'!AB1</f>
        <v>1</v>
      </c>
      <c r="B10" s="146" t="str">
        <f>'كـشـف حضور يومي'!AB2</f>
        <v>السبت</v>
      </c>
      <c r="C10" s="217"/>
      <c r="D10" s="105">
        <f>'كـشـف حضور يومي'!AB4</f>
        <v>0.375</v>
      </c>
      <c r="E10" s="105">
        <f>'كـشـف حضور يومي'!AC4</f>
        <v>0.70833333333333337</v>
      </c>
      <c r="F10" s="106">
        <f>H10-مراجع!$B$2</f>
        <v>0</v>
      </c>
      <c r="G10" s="106">
        <f>مراجع!$B$2-H10</f>
        <v>0</v>
      </c>
      <c r="H10" s="105">
        <f t="shared" si="0"/>
        <v>0.33333333333333337</v>
      </c>
      <c r="I10" s="107">
        <f>'كـشـف حضور يومي'!AG4</f>
        <v>0</v>
      </c>
      <c r="J10" s="85"/>
    </row>
    <row r="11" spans="1:24" ht="21.95" customHeight="1" x14ac:dyDescent="0.2">
      <c r="A11" s="145">
        <f>'كـشـف حضور يومي'!AH1</f>
        <v>1</v>
      </c>
      <c r="B11" s="146" t="str">
        <f>'كـشـف حضور يومي'!AH2</f>
        <v>السبت</v>
      </c>
      <c r="C11" s="217"/>
      <c r="D11" s="105">
        <f>'كـشـف حضور يومي'!AH4</f>
        <v>0.375</v>
      </c>
      <c r="E11" s="105">
        <f>'كـشـف حضور يومي'!AI4</f>
        <v>0.70833333333333337</v>
      </c>
      <c r="F11" s="106">
        <f>H11-مراجع!$B$2</f>
        <v>0</v>
      </c>
      <c r="G11" s="106">
        <f>مراجع!$B$2-H11</f>
        <v>0</v>
      </c>
      <c r="H11" s="105">
        <f t="shared" si="0"/>
        <v>0.33333333333333337</v>
      </c>
      <c r="I11" s="107">
        <f>'كـشـف حضور يومي'!AM4</f>
        <v>0</v>
      </c>
      <c r="J11" s="85"/>
    </row>
    <row r="12" spans="1:24" ht="21.95" customHeight="1" x14ac:dyDescent="0.2">
      <c r="A12" s="145">
        <f>'كـشـف حضور يومي'!AN1</f>
        <v>1</v>
      </c>
      <c r="B12" s="146" t="str">
        <f>'كـشـف حضور يومي'!AN2</f>
        <v>السبت</v>
      </c>
      <c r="C12" s="217"/>
      <c r="D12" s="105">
        <f>'كـشـف حضور يومي'!AN4</f>
        <v>0.375</v>
      </c>
      <c r="E12" s="105">
        <f>'كـشـف حضور يومي'!AO4</f>
        <v>0.70833333333333337</v>
      </c>
      <c r="F12" s="106">
        <f>H12-مراجع!$B$2</f>
        <v>0</v>
      </c>
      <c r="G12" s="106">
        <f>مراجع!$B$2-H12</f>
        <v>0</v>
      </c>
      <c r="H12" s="105">
        <f t="shared" si="0"/>
        <v>0.33333333333333337</v>
      </c>
      <c r="I12" s="107">
        <f>'كـشـف حضور يومي'!AS4</f>
        <v>0</v>
      </c>
      <c r="J12" s="85"/>
    </row>
    <row r="13" spans="1:24" ht="21.95" customHeight="1" x14ac:dyDescent="0.2">
      <c r="A13" s="145">
        <f>'كـشـف حضور يومي'!AT1</f>
        <v>1</v>
      </c>
      <c r="B13" s="146" t="str">
        <f>'كـشـف حضور يومي'!AT2</f>
        <v>السبت</v>
      </c>
      <c r="C13" s="217"/>
      <c r="D13" s="105">
        <f>'كـشـف حضور يومي'!AT4</f>
        <v>0.375</v>
      </c>
      <c r="E13" s="105">
        <f>'كـشـف حضور يومي'!AU4</f>
        <v>0.70833333333333337</v>
      </c>
      <c r="F13" s="106">
        <f>H13-مراجع!$B$2</f>
        <v>0</v>
      </c>
      <c r="G13" s="106">
        <f>مراجع!$B$2-H13</f>
        <v>0</v>
      </c>
      <c r="H13" s="105">
        <f t="shared" si="0"/>
        <v>0.33333333333333337</v>
      </c>
      <c r="I13" s="107">
        <f>'كـشـف حضور يومي'!AY4</f>
        <v>0</v>
      </c>
      <c r="J13" s="85"/>
    </row>
    <row r="14" spans="1:24" ht="21.95" customHeight="1" x14ac:dyDescent="0.2">
      <c r="A14" s="145">
        <f>'كـشـف حضور يومي'!AZ1</f>
        <v>1</v>
      </c>
      <c r="B14" s="146" t="str">
        <f>'كـشـف حضور يومي'!AZ2</f>
        <v>السبت</v>
      </c>
      <c r="C14" s="217"/>
      <c r="D14" s="105">
        <f>'كـشـف حضور يومي'!AZ4</f>
        <v>0.375</v>
      </c>
      <c r="E14" s="105">
        <f>'كـشـف حضور يومي'!BA4</f>
        <v>0.70833333333333337</v>
      </c>
      <c r="F14" s="106">
        <f>H14-مراجع!$B$2</f>
        <v>0</v>
      </c>
      <c r="G14" s="106">
        <f>مراجع!$B$2-H14</f>
        <v>0</v>
      </c>
      <c r="H14" s="105">
        <f t="shared" si="0"/>
        <v>0.33333333333333337</v>
      </c>
      <c r="I14" s="107">
        <f>'كـشـف حضور يومي'!BE4</f>
        <v>0</v>
      </c>
      <c r="J14" s="85"/>
    </row>
    <row r="15" spans="1:24" ht="21.95" customHeight="1" x14ac:dyDescent="0.2">
      <c r="A15" s="145">
        <f>'كـشـف حضور يومي'!BF1</f>
        <v>1</v>
      </c>
      <c r="B15" s="146" t="str">
        <f>'كـشـف حضور يومي'!BF2</f>
        <v>السبت</v>
      </c>
      <c r="C15" s="217"/>
      <c r="D15" s="105">
        <f>'كـشـف حضور يومي'!BF4</f>
        <v>0.375</v>
      </c>
      <c r="E15" s="105">
        <f>'كـشـف حضور يومي'!BG4</f>
        <v>0.70833333333333337</v>
      </c>
      <c r="F15" s="106">
        <f>H15-مراجع!$B$2</f>
        <v>0</v>
      </c>
      <c r="G15" s="106">
        <f>مراجع!$B$2-H15</f>
        <v>0</v>
      </c>
      <c r="H15" s="105">
        <f t="shared" si="0"/>
        <v>0.33333333333333337</v>
      </c>
      <c r="I15" s="107">
        <f>'كـشـف حضور يومي'!BK4</f>
        <v>0</v>
      </c>
      <c r="J15" s="85"/>
    </row>
    <row r="16" spans="1:24" ht="21.95" customHeight="1" x14ac:dyDescent="0.2">
      <c r="A16" s="145">
        <f>'كـشـف حضور يومي'!BL1</f>
        <v>1</v>
      </c>
      <c r="B16" s="146" t="str">
        <f>'كـشـف حضور يومي'!BL2</f>
        <v>السبت</v>
      </c>
      <c r="C16" s="217"/>
      <c r="D16" s="105">
        <f>'كـشـف حضور يومي'!BL4</f>
        <v>0.375</v>
      </c>
      <c r="E16" s="105">
        <f>'كـشـف حضور يومي'!BM4</f>
        <v>0.70833333333333337</v>
      </c>
      <c r="F16" s="106">
        <f>H16-مراجع!$B$2</f>
        <v>0</v>
      </c>
      <c r="G16" s="106">
        <f>مراجع!$B$2-H16</f>
        <v>0</v>
      </c>
      <c r="H16" s="105">
        <f t="shared" si="0"/>
        <v>0.33333333333333337</v>
      </c>
      <c r="I16" s="107">
        <f>'كـشـف حضور يومي'!BQ4</f>
        <v>0</v>
      </c>
      <c r="J16" s="85"/>
    </row>
    <row r="17" spans="1:15" ht="21.95" customHeight="1" x14ac:dyDescent="0.2">
      <c r="A17" s="145">
        <f>'كـشـف حضور يومي'!BR1</f>
        <v>1</v>
      </c>
      <c r="B17" s="146" t="str">
        <f>'كـشـف حضور يومي'!BR2</f>
        <v>السبت</v>
      </c>
      <c r="C17" s="217"/>
      <c r="D17" s="105">
        <f>'كـشـف حضور يومي'!BR4</f>
        <v>0.375</v>
      </c>
      <c r="E17" s="105">
        <f>'كـشـف حضور يومي'!BS4</f>
        <v>0.70833333333333337</v>
      </c>
      <c r="F17" s="106">
        <f>H17-مراجع!$B$2</f>
        <v>0</v>
      </c>
      <c r="G17" s="106">
        <f>مراجع!$B$2-H17</f>
        <v>0</v>
      </c>
      <c r="H17" s="105">
        <f t="shared" si="0"/>
        <v>0.33333333333333337</v>
      </c>
      <c r="I17" s="107">
        <f>'كـشـف حضور يومي'!BW4</f>
        <v>0</v>
      </c>
      <c r="J17" s="85"/>
    </row>
    <row r="18" spans="1:15" ht="21.95" customHeight="1" x14ac:dyDescent="0.2">
      <c r="A18" s="145">
        <f>'كـشـف حضور يومي'!BX1</f>
        <v>1</v>
      </c>
      <c r="B18" s="146" t="str">
        <f>'كـشـف حضور يومي'!BX2</f>
        <v>السبت</v>
      </c>
      <c r="C18" s="217"/>
      <c r="D18" s="105">
        <f>'كـشـف حضور يومي'!BX4</f>
        <v>0.375</v>
      </c>
      <c r="E18" s="105">
        <f>'كـشـف حضور يومي'!BY4</f>
        <v>0.70833333333333337</v>
      </c>
      <c r="F18" s="106">
        <f>H18-مراجع!$B$2</f>
        <v>0</v>
      </c>
      <c r="G18" s="106">
        <f>مراجع!$B$2-H18</f>
        <v>0</v>
      </c>
      <c r="H18" s="105">
        <f t="shared" si="0"/>
        <v>0.33333333333333337</v>
      </c>
      <c r="I18" s="107">
        <f>'كـشـف حضور يومي'!CC4</f>
        <v>0</v>
      </c>
      <c r="J18" s="85"/>
    </row>
    <row r="19" spans="1:15" ht="21.95" customHeight="1" x14ac:dyDescent="0.2">
      <c r="A19" s="145">
        <f>'كـشـف حضور يومي'!CD1</f>
        <v>1</v>
      </c>
      <c r="B19" s="146" t="str">
        <f>'كـشـف حضور يومي'!CD2</f>
        <v>السبت</v>
      </c>
      <c r="C19" s="217"/>
      <c r="D19" s="105">
        <f>'كـشـف حضور يومي'!CD4</f>
        <v>0.375</v>
      </c>
      <c r="E19" s="105">
        <f>'كـشـف حضور يومي'!CE4</f>
        <v>0.70833333333333337</v>
      </c>
      <c r="F19" s="106">
        <f>H19-مراجع!$B$2</f>
        <v>0</v>
      </c>
      <c r="G19" s="106">
        <f>مراجع!$B$2-H19</f>
        <v>0</v>
      </c>
      <c r="H19" s="105">
        <f t="shared" si="0"/>
        <v>0.33333333333333337</v>
      </c>
      <c r="I19" s="107">
        <f>'كـشـف حضور يومي'!CI4</f>
        <v>0</v>
      </c>
      <c r="J19" s="85"/>
    </row>
    <row r="20" spans="1:15" ht="21.95" customHeight="1" x14ac:dyDescent="0.2">
      <c r="A20" s="145">
        <f>'كـشـف حضور يومي'!CJ1</f>
        <v>1</v>
      </c>
      <c r="B20" s="146" t="str">
        <f>'كـشـف حضور يومي'!CJ2</f>
        <v>السبت</v>
      </c>
      <c r="C20" s="217"/>
      <c r="D20" s="105">
        <f>'كـشـف حضور يومي'!CJ4</f>
        <v>0.375</v>
      </c>
      <c r="E20" s="105">
        <f>'كـشـف حضور يومي'!CK4</f>
        <v>0.70833333333333337</v>
      </c>
      <c r="F20" s="106">
        <f>H20-مراجع!$B$2</f>
        <v>0</v>
      </c>
      <c r="G20" s="106">
        <f>مراجع!$B$2-H20</f>
        <v>0</v>
      </c>
      <c r="H20" s="105">
        <f t="shared" si="0"/>
        <v>0.33333333333333337</v>
      </c>
      <c r="I20" s="107">
        <f>'كـشـف حضور يومي'!CO4</f>
        <v>0</v>
      </c>
      <c r="J20" s="85"/>
      <c r="O20" s="91"/>
    </row>
    <row r="21" spans="1:15" ht="21.95" customHeight="1" x14ac:dyDescent="0.2">
      <c r="A21" s="145">
        <f>'كـشـف حضور يومي'!CP1</f>
        <v>1</v>
      </c>
      <c r="B21" s="146" t="str">
        <f>'كـشـف حضور يومي'!CP2</f>
        <v>السبت</v>
      </c>
      <c r="C21" s="217"/>
      <c r="D21" s="105">
        <f>'كـشـف حضور يومي'!CP4</f>
        <v>0.375</v>
      </c>
      <c r="E21" s="105">
        <f>'كـشـف حضور يومي'!CQ4</f>
        <v>0.70833333333333337</v>
      </c>
      <c r="F21" s="106">
        <f>H21-مراجع!$B$2</f>
        <v>0</v>
      </c>
      <c r="G21" s="106">
        <f>مراجع!$B$2-H21</f>
        <v>0</v>
      </c>
      <c r="H21" s="105">
        <f t="shared" si="0"/>
        <v>0.33333333333333337</v>
      </c>
      <c r="I21" s="107">
        <f>'كـشـف حضور يومي'!CU4</f>
        <v>0</v>
      </c>
      <c r="J21" s="85"/>
    </row>
    <row r="22" spans="1:15" ht="21.95" customHeight="1" x14ac:dyDescent="0.2">
      <c r="A22" s="145">
        <f>'كـشـف حضور يومي'!CV1</f>
        <v>1</v>
      </c>
      <c r="B22" s="146" t="str">
        <f>'كـشـف حضور يومي'!CV2</f>
        <v>السبت</v>
      </c>
      <c r="C22" s="217"/>
      <c r="D22" s="105">
        <f>'كـشـف حضور يومي'!CV4</f>
        <v>0.375</v>
      </c>
      <c r="E22" s="105">
        <f>'كـشـف حضور يومي'!CW4</f>
        <v>0.70833333333333337</v>
      </c>
      <c r="F22" s="106">
        <f>H22-مراجع!$B$2</f>
        <v>0</v>
      </c>
      <c r="G22" s="106">
        <f>مراجع!$B$2-H22</f>
        <v>0</v>
      </c>
      <c r="H22" s="105">
        <f t="shared" si="0"/>
        <v>0.33333333333333337</v>
      </c>
      <c r="I22" s="107">
        <f>'كـشـف حضور يومي'!DA4</f>
        <v>0</v>
      </c>
      <c r="J22" s="85"/>
    </row>
    <row r="23" spans="1:15" ht="21.95" customHeight="1" x14ac:dyDescent="0.2">
      <c r="A23" s="145">
        <f>'كـشـف حضور يومي'!DB1</f>
        <v>1</v>
      </c>
      <c r="B23" s="146" t="str">
        <f>'كـشـف حضور يومي'!DB2</f>
        <v>السبت</v>
      </c>
      <c r="C23" s="217"/>
      <c r="D23" s="105">
        <f>'كـشـف حضور يومي'!DB4</f>
        <v>0.375</v>
      </c>
      <c r="E23" s="105">
        <f>'كـشـف حضور يومي'!DC4</f>
        <v>0.70833333333333337</v>
      </c>
      <c r="F23" s="106">
        <f>H23-مراجع!$B$2</f>
        <v>0</v>
      </c>
      <c r="G23" s="106">
        <f>مراجع!$B$2-H23</f>
        <v>0</v>
      </c>
      <c r="H23" s="105">
        <f t="shared" si="0"/>
        <v>0.33333333333333337</v>
      </c>
      <c r="I23" s="107">
        <f>'كـشـف حضور يومي'!DG4</f>
        <v>0</v>
      </c>
      <c r="J23" s="85"/>
    </row>
    <row r="24" spans="1:15" ht="21.95" customHeight="1" x14ac:dyDescent="0.2">
      <c r="A24" s="145">
        <f>'كـشـف حضور يومي'!DH1</f>
        <v>1</v>
      </c>
      <c r="B24" s="146" t="str">
        <f>'كـشـف حضور يومي'!DH2</f>
        <v>السبت</v>
      </c>
      <c r="C24" s="217"/>
      <c r="D24" s="105">
        <f>'كـشـف حضور يومي'!DH4</f>
        <v>0.375</v>
      </c>
      <c r="E24" s="105">
        <f>'كـشـف حضور يومي'!DI4</f>
        <v>0.70833333333333337</v>
      </c>
      <c r="F24" s="106">
        <f>H24-مراجع!$B$2</f>
        <v>0</v>
      </c>
      <c r="G24" s="106">
        <f>مراجع!$B$2-H24</f>
        <v>0</v>
      </c>
      <c r="H24" s="105">
        <f t="shared" si="0"/>
        <v>0.33333333333333337</v>
      </c>
      <c r="I24" s="107">
        <f>'كـشـف حضور يومي'!DM4</f>
        <v>0</v>
      </c>
      <c r="J24" s="85"/>
    </row>
    <row r="25" spans="1:15" ht="21.95" customHeight="1" x14ac:dyDescent="0.2">
      <c r="A25" s="145">
        <f>'كـشـف حضور يومي'!DN1</f>
        <v>1</v>
      </c>
      <c r="B25" s="146" t="str">
        <f>'كـشـف حضور يومي'!DN2</f>
        <v>السبت</v>
      </c>
      <c r="C25" s="217"/>
      <c r="D25" s="105">
        <f>'كـشـف حضور يومي'!DN4</f>
        <v>0.375</v>
      </c>
      <c r="E25" s="105">
        <f>'كـشـف حضور يومي'!DO4</f>
        <v>0.70833333333333337</v>
      </c>
      <c r="F25" s="106">
        <f>H25-مراجع!$B$2</f>
        <v>0</v>
      </c>
      <c r="G25" s="106">
        <f>مراجع!$B$2-H25</f>
        <v>0</v>
      </c>
      <c r="H25" s="105">
        <f t="shared" si="0"/>
        <v>0.33333333333333337</v>
      </c>
      <c r="I25" s="107">
        <f>'كـشـف حضور يومي'!DS4</f>
        <v>0</v>
      </c>
      <c r="J25" s="85"/>
    </row>
    <row r="26" spans="1:15" ht="21.95" customHeight="1" x14ac:dyDescent="0.2">
      <c r="A26" s="145">
        <f>'كـشـف حضور يومي'!DT1</f>
        <v>1</v>
      </c>
      <c r="B26" s="146" t="str">
        <f>'كـشـف حضور يومي'!DT2</f>
        <v>السبت</v>
      </c>
      <c r="C26" s="217"/>
      <c r="D26" s="105">
        <f>'كـشـف حضور يومي'!DT4</f>
        <v>0.375</v>
      </c>
      <c r="E26" s="105">
        <f>'كـشـف حضور يومي'!DU4</f>
        <v>0.70833333333333337</v>
      </c>
      <c r="F26" s="106">
        <f>H26-مراجع!$B$2</f>
        <v>0</v>
      </c>
      <c r="G26" s="106">
        <f>مراجع!$B$2-H26</f>
        <v>0</v>
      </c>
      <c r="H26" s="105">
        <f t="shared" si="0"/>
        <v>0.33333333333333337</v>
      </c>
      <c r="I26" s="107">
        <f>'كـشـف حضور يومي'!DY4</f>
        <v>0</v>
      </c>
      <c r="J26" s="85"/>
    </row>
    <row r="27" spans="1:15" ht="21.95" customHeight="1" x14ac:dyDescent="0.2">
      <c r="A27" s="145">
        <f>'كـشـف حضور يومي'!DZ1</f>
        <v>1</v>
      </c>
      <c r="B27" s="146" t="str">
        <f>'كـشـف حضور يومي'!DZ2</f>
        <v>السبت</v>
      </c>
      <c r="C27" s="217"/>
      <c r="D27" s="105">
        <f>'كـشـف حضور يومي'!DZ4</f>
        <v>0.375</v>
      </c>
      <c r="E27" s="105">
        <f>'كـشـف حضور يومي'!EA4</f>
        <v>0.70833333333333337</v>
      </c>
      <c r="F27" s="106">
        <f>H27-مراجع!$B$2</f>
        <v>0</v>
      </c>
      <c r="G27" s="106">
        <f>مراجع!$B$2-H27</f>
        <v>0</v>
      </c>
      <c r="H27" s="105">
        <f t="shared" si="0"/>
        <v>0.33333333333333337</v>
      </c>
      <c r="I27" s="107">
        <f>'كـشـف حضور يومي'!EE4</f>
        <v>0</v>
      </c>
      <c r="J27" s="85"/>
    </row>
    <row r="28" spans="1:15" ht="21.95" customHeight="1" x14ac:dyDescent="0.2">
      <c r="A28" s="145">
        <f>'كـشـف حضور يومي'!EF1</f>
        <v>1</v>
      </c>
      <c r="B28" s="146" t="str">
        <f>'كـشـف حضور يومي'!EF2</f>
        <v>السبت</v>
      </c>
      <c r="C28" s="217"/>
      <c r="D28" s="105">
        <f>'كـشـف حضور يومي'!EF4</f>
        <v>0.375</v>
      </c>
      <c r="E28" s="105">
        <f>'كـشـف حضور يومي'!EG4</f>
        <v>0.70833333333333337</v>
      </c>
      <c r="F28" s="106">
        <f>H28-مراجع!$B$2</f>
        <v>0</v>
      </c>
      <c r="G28" s="106">
        <f>مراجع!$B$2-H28</f>
        <v>0</v>
      </c>
      <c r="H28" s="105">
        <f t="shared" si="0"/>
        <v>0.33333333333333337</v>
      </c>
      <c r="I28" s="107">
        <f>'كـشـف حضور يومي'!EK4</f>
        <v>0</v>
      </c>
      <c r="J28" s="85"/>
    </row>
    <row r="29" spans="1:15" ht="21.95" customHeight="1" x14ac:dyDescent="0.2">
      <c r="A29" s="145">
        <f>'كـشـف حضور يومي'!EL1</f>
        <v>1</v>
      </c>
      <c r="B29" s="146" t="str">
        <f>'كـشـف حضور يومي'!EL2</f>
        <v>السبت</v>
      </c>
      <c r="C29" s="217"/>
      <c r="D29" s="105">
        <f>'كـشـف حضور يومي'!EL4</f>
        <v>0.375</v>
      </c>
      <c r="E29" s="105">
        <f>'كـشـف حضور يومي'!EM4</f>
        <v>0.70833333333333337</v>
      </c>
      <c r="F29" s="106">
        <f>H29-مراجع!$B$2</f>
        <v>0</v>
      </c>
      <c r="G29" s="106">
        <f>مراجع!$B$2-H29</f>
        <v>0</v>
      </c>
      <c r="H29" s="105">
        <f t="shared" si="0"/>
        <v>0.33333333333333337</v>
      </c>
      <c r="I29" s="107">
        <f>'كـشـف حضور يومي'!EQ4</f>
        <v>0</v>
      </c>
      <c r="J29" s="85"/>
    </row>
    <row r="30" spans="1:15" ht="21.95" customHeight="1" x14ac:dyDescent="0.2">
      <c r="A30" s="145">
        <f>'كـشـف حضور يومي'!ER1</f>
        <v>1</v>
      </c>
      <c r="B30" s="146" t="str">
        <f>'كـشـف حضور يومي'!ER2</f>
        <v>السبت</v>
      </c>
      <c r="C30" s="217"/>
      <c r="D30" s="105">
        <f>'كـشـف حضور يومي'!ER4</f>
        <v>0.375</v>
      </c>
      <c r="E30" s="105">
        <f>'كـشـف حضور يومي'!ES4</f>
        <v>0.70833333333333337</v>
      </c>
      <c r="F30" s="106">
        <f>H30-مراجع!$B$2</f>
        <v>0</v>
      </c>
      <c r="G30" s="106">
        <f>مراجع!$B$2-H30</f>
        <v>0</v>
      </c>
      <c r="H30" s="105">
        <f t="shared" si="0"/>
        <v>0.33333333333333337</v>
      </c>
      <c r="I30" s="107">
        <f>'كـشـف حضور يومي'!EW4</f>
        <v>0</v>
      </c>
      <c r="J30" s="85"/>
    </row>
    <row r="31" spans="1:15" ht="21.95" customHeight="1" x14ac:dyDescent="0.2">
      <c r="A31" s="145">
        <f>'كـشـف حضور يومي'!EX1</f>
        <v>1</v>
      </c>
      <c r="B31" s="146" t="str">
        <f>'كـشـف حضور يومي'!EX2</f>
        <v>السبت</v>
      </c>
      <c r="C31" s="217"/>
      <c r="D31" s="105">
        <f>'كـشـف حضور يومي'!EX4</f>
        <v>0</v>
      </c>
      <c r="E31" s="105">
        <f>'كـشـف حضور يومي'!EY4</f>
        <v>0</v>
      </c>
      <c r="F31" s="106">
        <f>H31-مراجع!$B$2</f>
        <v>-0.33333333333333331</v>
      </c>
      <c r="G31" s="106">
        <f>مراجع!$B$2-H31</f>
        <v>0.33333333333333331</v>
      </c>
      <c r="H31" s="105">
        <f t="shared" si="0"/>
        <v>0</v>
      </c>
      <c r="I31" s="107">
        <f>'كـشـف حضور يومي'!FC4</f>
        <v>0</v>
      </c>
      <c r="J31" s="85"/>
    </row>
    <row r="32" spans="1:15" ht="21.95" customHeight="1" x14ac:dyDescent="0.2">
      <c r="A32" s="145">
        <f>'كـشـف حضور يومي'!FD1</f>
        <v>1</v>
      </c>
      <c r="B32" s="146" t="str">
        <f>'كـشـف حضور يومي'!FD2</f>
        <v>السبت</v>
      </c>
      <c r="C32" s="217"/>
      <c r="D32" s="105">
        <f>'كـشـف حضور يومي'!FD4</f>
        <v>0</v>
      </c>
      <c r="E32" s="105">
        <f>'كـشـف حضور يومي'!FE4</f>
        <v>0</v>
      </c>
      <c r="F32" s="106">
        <f>H32-مراجع!$B$2</f>
        <v>-0.33333333333333331</v>
      </c>
      <c r="G32" s="106">
        <f>مراجع!$B$2-H32</f>
        <v>0.33333333333333331</v>
      </c>
      <c r="H32" s="105">
        <f t="shared" si="0"/>
        <v>0</v>
      </c>
      <c r="I32" s="107">
        <f>'كـشـف حضور يومي'!FI4</f>
        <v>0</v>
      </c>
      <c r="J32" s="85"/>
    </row>
    <row r="33" spans="1:10" ht="21.95" customHeight="1" x14ac:dyDescent="0.2">
      <c r="A33" s="145">
        <f>'كـشـف حضور يومي'!FJ1</f>
        <v>1</v>
      </c>
      <c r="B33" s="146" t="str">
        <f>'كـشـف حضور يومي'!FJ2</f>
        <v>السبت</v>
      </c>
      <c r="C33" s="217"/>
      <c r="D33" s="105">
        <f>'كـشـف حضور يومي'!FJ4</f>
        <v>0</v>
      </c>
      <c r="E33" s="105">
        <f>'كـشـف حضور يومي'!FK4</f>
        <v>0</v>
      </c>
      <c r="F33" s="106">
        <f>H33-مراجع!$B$2</f>
        <v>-0.33333333333333331</v>
      </c>
      <c r="G33" s="106">
        <f>مراجع!$B$2-H33</f>
        <v>0.33333333333333331</v>
      </c>
      <c r="H33" s="105">
        <f t="shared" si="0"/>
        <v>0</v>
      </c>
      <c r="I33" s="107">
        <f>'كـشـف حضور يومي'!FO4</f>
        <v>0</v>
      </c>
      <c r="J33" s="85"/>
    </row>
    <row r="34" spans="1:10" ht="21.95" customHeight="1" x14ac:dyDescent="0.2">
      <c r="A34" s="145">
        <f>'كـشـف حضور يومي'!FP1</f>
        <v>1</v>
      </c>
      <c r="B34" s="146" t="str">
        <f>'كـشـف حضور يومي'!FP2</f>
        <v>السبت</v>
      </c>
      <c r="C34" s="217"/>
      <c r="D34" s="105">
        <f>'كـشـف حضور يومي'!FP4</f>
        <v>0</v>
      </c>
      <c r="E34" s="105">
        <f>'كـشـف حضور يومي'!FQ4</f>
        <v>0</v>
      </c>
      <c r="F34" s="106">
        <f>H34-مراجع!$B$2</f>
        <v>-0.33333333333333331</v>
      </c>
      <c r="G34" s="106">
        <f>مراجع!$B$2-H34</f>
        <v>0.33333333333333331</v>
      </c>
      <c r="H34" s="105">
        <f t="shared" si="0"/>
        <v>0</v>
      </c>
      <c r="I34" s="107">
        <f>'كـشـف حضور يومي'!FU4</f>
        <v>0</v>
      </c>
      <c r="J34" s="85"/>
    </row>
    <row r="35" spans="1:10" ht="21.95" customHeight="1" x14ac:dyDescent="0.2">
      <c r="A35" s="145">
        <f>'كـشـف حضور يومي'!FV1</f>
        <v>1</v>
      </c>
      <c r="B35" s="146" t="str">
        <f>'كـشـف حضور يومي'!FV2</f>
        <v>السبت</v>
      </c>
      <c r="C35" s="217"/>
      <c r="D35" s="105">
        <f>'كـشـف حضور يومي'!FV4</f>
        <v>0</v>
      </c>
      <c r="E35" s="105">
        <f>'كـشـف حضور يومي'!FW4</f>
        <v>0</v>
      </c>
      <c r="F35" s="106">
        <f>H35-مراجع!$B$2</f>
        <v>-0.33333333333333331</v>
      </c>
      <c r="G35" s="106">
        <f>مراجع!$B$2-H35</f>
        <v>0.33333333333333331</v>
      </c>
      <c r="H35" s="105">
        <f t="shared" si="0"/>
        <v>0</v>
      </c>
      <c r="I35" s="107">
        <f>'كـشـف حضور يومي'!GA4</f>
        <v>0</v>
      </c>
      <c r="J35" s="85"/>
    </row>
    <row r="36" spans="1:10" ht="21.95" customHeight="1" x14ac:dyDescent="0.2">
      <c r="A36" s="145">
        <f>'كـشـف حضور يومي'!GB1</f>
        <v>1</v>
      </c>
      <c r="B36" s="146" t="str">
        <f>'كـشـف حضور يومي'!GB2</f>
        <v>السبت</v>
      </c>
      <c r="C36" s="217"/>
      <c r="D36" s="105">
        <f>'كـشـف حضور يومي'!GB4</f>
        <v>0</v>
      </c>
      <c r="E36" s="105">
        <f>'كـشـف حضور يومي'!GC4</f>
        <v>0</v>
      </c>
      <c r="F36" s="106">
        <f>H36-مراجع!$B$2</f>
        <v>-0.33333333333333331</v>
      </c>
      <c r="G36" s="106">
        <f>مراجع!$B$2-H36</f>
        <v>0.33333333333333331</v>
      </c>
      <c r="H36" s="105">
        <f t="shared" si="0"/>
        <v>0</v>
      </c>
      <c r="I36" s="107">
        <f>'كـشـف حضور يومي'!GG4</f>
        <v>0</v>
      </c>
      <c r="J36" s="85"/>
    </row>
    <row r="37" spans="1:10" ht="21.95" customHeight="1" x14ac:dyDescent="0.2">
      <c r="A37" s="216" t="s">
        <v>65</v>
      </c>
      <c r="B37" s="216"/>
      <c r="C37" s="216"/>
      <c r="D37" s="216"/>
      <c r="E37" s="216"/>
      <c r="F37" s="211">
        <f>SUM(H6:H36)</f>
        <v>8.3333333333333304</v>
      </c>
      <c r="G37" s="211"/>
      <c r="H37" s="211"/>
      <c r="I37" s="211"/>
    </row>
    <row r="38" spans="1:10" ht="21.75" customHeight="1" x14ac:dyDescent="0.2">
      <c r="A38" s="215" t="s">
        <v>66</v>
      </c>
      <c r="B38" s="215"/>
      <c r="C38" s="215"/>
      <c r="D38" s="215"/>
      <c r="E38" s="215"/>
      <c r="F38" s="210">
        <f>F37*I2*24</f>
        <v>2999.9999999999991</v>
      </c>
      <c r="G38" s="210"/>
      <c r="H38" s="210"/>
      <c r="I38" s="210"/>
    </row>
  </sheetData>
  <sheetProtection algorithmName="SHA-512" hashValue="KxCeggUpc04IVy4bXED6OUaz0hCzZ+IIbH7jOXatNpzUfoUv8JkDKudQLvPzTF+ezkv9jeehnl7ZhmGlOPU9OQ==" saltValue="0g3nvmu7HYwnE1vqyPS+3g==" spinCount="100000" sheet="1" objects="1" scenarios="1"/>
  <mergeCells count="14">
    <mergeCell ref="F38:I38"/>
    <mergeCell ref="F37:I37"/>
    <mergeCell ref="A3:I3"/>
    <mergeCell ref="A4:B4"/>
    <mergeCell ref="H4:I4"/>
    <mergeCell ref="C4:E4"/>
    <mergeCell ref="A38:E38"/>
    <mergeCell ref="A37:E37"/>
    <mergeCell ref="C5:C36"/>
    <mergeCell ref="A2:B2"/>
    <mergeCell ref="G1:H1"/>
    <mergeCell ref="D1:F2"/>
    <mergeCell ref="A1:B1"/>
    <mergeCell ref="G2:H2"/>
  </mergeCells>
  <pageMargins left="0.7" right="0.7" top="0.75" bottom="0.75" header="0.3" footer="0.3"/>
  <pageSetup scale="33"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F43C6D9D-48BC-41F1-B50B-1E41296CFA25}">
          <x14:formula1>
            <xm:f>مراجع!$B$4:$B$15</xm:f>
          </x14:formula1>
          <xm:sqref>C4:E4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X38"/>
  <sheetViews>
    <sheetView rightToLeft="1" zoomScaleNormal="100" workbookViewId="0">
      <pane ySplit="5" topLeftCell="A6" activePane="bottomLeft" state="frozen"/>
      <selection pane="bottomLeft" activeCell="G1" sqref="G1:I2"/>
    </sheetView>
  </sheetViews>
  <sheetFormatPr defaultColWidth="10.75" defaultRowHeight="21.95" customHeight="1" x14ac:dyDescent="0.2"/>
  <cols>
    <col min="1" max="9" width="12.75" style="86" customWidth="1"/>
    <col min="10" max="10" width="7.75" style="219" customWidth="1"/>
    <col min="11" max="11" width="4.625" style="85" bestFit="1" customWidth="1"/>
    <col min="12" max="12" width="9.125" style="85" bestFit="1" customWidth="1"/>
    <col min="13" max="13" width="5.75" style="85" bestFit="1" customWidth="1"/>
    <col min="14" max="14" width="9.75" style="85" bestFit="1" customWidth="1"/>
    <col min="15" max="15" width="7.625" style="85" bestFit="1" customWidth="1"/>
    <col min="16" max="16" width="9" style="85" bestFit="1" customWidth="1"/>
    <col min="17" max="17" width="9.75" style="85" bestFit="1" customWidth="1"/>
    <col min="18" max="18" width="9" style="85" bestFit="1" customWidth="1"/>
    <col min="19" max="20" width="6" style="85" bestFit="1" customWidth="1"/>
    <col min="21" max="21" width="9.375" style="85" bestFit="1" customWidth="1"/>
    <col min="22" max="16384" width="10.75" style="85"/>
  </cols>
  <sheetData>
    <row r="1" spans="1:24" ht="21.95" customHeight="1" x14ac:dyDescent="0.2">
      <c r="A1" s="208" t="s">
        <v>43</v>
      </c>
      <c r="B1" s="208"/>
      <c r="C1" s="96" t="s">
        <v>82</v>
      </c>
      <c r="D1" s="209"/>
      <c r="E1" s="209"/>
      <c r="F1" s="209"/>
      <c r="G1" s="208" t="s">
        <v>21</v>
      </c>
      <c r="H1" s="208"/>
      <c r="I1" s="97" t="s">
        <v>82</v>
      </c>
      <c r="J1" s="218"/>
      <c r="K1"/>
      <c r="N1" s="89"/>
      <c r="O1" s="89"/>
      <c r="P1" s="89"/>
      <c r="Q1" s="89"/>
      <c r="R1" s="89"/>
      <c r="S1" s="89"/>
      <c r="T1" s="89"/>
      <c r="U1" s="89"/>
      <c r="V1" s="89"/>
      <c r="W1" s="89"/>
      <c r="X1" s="89"/>
    </row>
    <row r="2" spans="1:24" ht="21.95" customHeight="1" x14ac:dyDescent="0.2">
      <c r="A2" s="207" t="s">
        <v>52</v>
      </c>
      <c r="B2" s="207"/>
      <c r="C2" s="98" t="s">
        <v>82</v>
      </c>
      <c r="D2" s="209"/>
      <c r="E2" s="209"/>
      <c r="F2" s="209"/>
      <c r="G2" s="207" t="s">
        <v>53</v>
      </c>
      <c r="H2" s="207"/>
      <c r="I2" s="99">
        <v>15</v>
      </c>
      <c r="J2" s="218"/>
      <c r="K2"/>
      <c r="L2" s="118"/>
      <c r="O2" s="87"/>
      <c r="P2" s="88"/>
      <c r="Q2" s="88"/>
      <c r="R2" s="88"/>
      <c r="S2" s="88"/>
      <c r="T2" s="88"/>
      <c r="U2" s="88"/>
      <c r="V2" s="88"/>
      <c r="W2" s="88"/>
      <c r="X2" s="88"/>
    </row>
    <row r="3" spans="1:24" ht="21.95" customHeight="1" x14ac:dyDescent="0.2">
      <c r="A3" s="222" t="s">
        <v>60</v>
      </c>
      <c r="B3" s="222"/>
      <c r="C3" s="222"/>
      <c r="D3" s="222"/>
      <c r="E3" s="222"/>
      <c r="F3" s="222"/>
      <c r="G3" s="222"/>
      <c r="H3" s="222"/>
      <c r="I3" s="222"/>
      <c r="J3" s="218"/>
      <c r="K3" s="86"/>
      <c r="L3" s="86"/>
      <c r="M3" s="86"/>
      <c r="N3" s="86"/>
      <c r="O3" s="86"/>
      <c r="P3" s="86"/>
      <c r="Q3" s="90"/>
      <c r="R3" s="90"/>
      <c r="S3" s="90"/>
      <c r="T3" s="90"/>
    </row>
    <row r="4" spans="1:24" ht="21.95" customHeight="1" x14ac:dyDescent="0.2">
      <c r="A4" s="213" t="s">
        <v>4</v>
      </c>
      <c r="B4" s="213"/>
      <c r="C4" s="213" t="s">
        <v>42</v>
      </c>
      <c r="D4" s="213"/>
      <c r="E4" s="213"/>
      <c r="F4" s="144" t="s">
        <v>54</v>
      </c>
      <c r="G4" s="144"/>
      <c r="H4" s="214" t="s">
        <v>82</v>
      </c>
      <c r="I4" s="214"/>
      <c r="J4" s="218"/>
      <c r="K4" s="86"/>
      <c r="L4" s="86"/>
      <c r="M4" s="86"/>
      <c r="N4" s="86"/>
      <c r="O4" s="86"/>
      <c r="P4" s="86"/>
      <c r="Q4" s="90"/>
      <c r="R4" s="90"/>
      <c r="S4" s="90"/>
      <c r="T4" s="90"/>
    </row>
    <row r="5" spans="1:24" ht="21.95" customHeight="1" x14ac:dyDescent="0.2">
      <c r="A5" s="100" t="s">
        <v>56</v>
      </c>
      <c r="B5" s="100" t="s">
        <v>55</v>
      </c>
      <c r="C5" s="217"/>
      <c r="D5" s="102" t="s">
        <v>23</v>
      </c>
      <c r="E5" s="102" t="s">
        <v>24</v>
      </c>
      <c r="F5" s="103" t="s">
        <v>57</v>
      </c>
      <c r="G5" s="104" t="s">
        <v>58</v>
      </c>
      <c r="H5" s="102" t="s">
        <v>17</v>
      </c>
      <c r="I5" s="101" t="s">
        <v>25</v>
      </c>
      <c r="J5" s="218"/>
    </row>
    <row r="6" spans="1:24" ht="21.95" customHeight="1" x14ac:dyDescent="0.2">
      <c r="A6" s="145">
        <f>'كـشـف حضور يومي'!D1</f>
        <v>1</v>
      </c>
      <c r="B6" s="146" t="str">
        <f>'كـشـف حضور يومي'!D2</f>
        <v>السبت</v>
      </c>
      <c r="C6" s="217"/>
      <c r="D6" s="105">
        <f>'كـشـف حضور يومي'!D5</f>
        <v>0</v>
      </c>
      <c r="E6" s="105">
        <f>'كـشـف حضور يومي'!E5</f>
        <v>0</v>
      </c>
      <c r="F6" s="106">
        <f>H6-مراجع!$B$2</f>
        <v>-0.33333333333333331</v>
      </c>
      <c r="G6" s="106">
        <f>مراجع!$B$2-H6</f>
        <v>0.33333333333333331</v>
      </c>
      <c r="H6" s="105">
        <f>SUM(E6-D6)</f>
        <v>0</v>
      </c>
      <c r="I6" s="107">
        <f>'كـشـف حضور يومي'!I5</f>
        <v>0</v>
      </c>
      <c r="J6" s="218"/>
    </row>
    <row r="7" spans="1:24" ht="21.95" customHeight="1" x14ac:dyDescent="0.2">
      <c r="A7" s="145">
        <f>'كـشـف حضور يومي'!J1</f>
        <v>1</v>
      </c>
      <c r="B7" s="146" t="str">
        <f>'كـشـف حضور يومي'!J2</f>
        <v>السبت</v>
      </c>
      <c r="C7" s="217"/>
      <c r="D7" s="105">
        <f>'كـشـف حضور يومي'!J5</f>
        <v>0</v>
      </c>
      <c r="E7" s="105">
        <f>'كـشـف حضور يومي'!K5</f>
        <v>0</v>
      </c>
      <c r="F7" s="106">
        <f>H7-مراجع!$B$2</f>
        <v>-0.33333333333333331</v>
      </c>
      <c r="G7" s="106">
        <f>مراجع!$B$2-H7</f>
        <v>0.33333333333333331</v>
      </c>
      <c r="H7" s="105">
        <f>SUM(E7-D7)</f>
        <v>0</v>
      </c>
      <c r="I7" s="107">
        <f>'كـشـف حضور يومي'!O5</f>
        <v>0</v>
      </c>
      <c r="J7" s="218"/>
    </row>
    <row r="8" spans="1:24" ht="21.95" customHeight="1" x14ac:dyDescent="0.2">
      <c r="A8" s="145">
        <f>'كـشـف حضور يومي'!P1</f>
        <v>1</v>
      </c>
      <c r="B8" s="146" t="str">
        <f>'كـشـف حضور يومي'!P2</f>
        <v>السبت</v>
      </c>
      <c r="C8" s="217"/>
      <c r="D8" s="105">
        <f>'كـشـف حضور يومي'!P5</f>
        <v>0</v>
      </c>
      <c r="E8" s="105">
        <f>'كـشـف حضور يومي'!Q5</f>
        <v>0</v>
      </c>
      <c r="F8" s="106">
        <f>H8-مراجع!$B$2</f>
        <v>-0.33333333333333331</v>
      </c>
      <c r="G8" s="106">
        <f>مراجع!$B$2-H8</f>
        <v>0.33333333333333331</v>
      </c>
      <c r="H8" s="105">
        <f t="shared" ref="H8:H36" si="0">SUM(E8-D8)</f>
        <v>0</v>
      </c>
      <c r="I8" s="107">
        <f>'كـشـف حضور يومي'!U5</f>
        <v>0</v>
      </c>
      <c r="J8" s="218"/>
    </row>
    <row r="9" spans="1:24" ht="21.95" customHeight="1" x14ac:dyDescent="0.2">
      <c r="A9" s="145">
        <f>'كـشـف حضور يومي'!V1</f>
        <v>1</v>
      </c>
      <c r="B9" s="147" t="str">
        <f>'كـشـف حضور يومي'!V2</f>
        <v>السبت</v>
      </c>
      <c r="C9" s="217"/>
      <c r="D9" s="105">
        <f>'كـشـف حضور يومي'!V5</f>
        <v>0</v>
      </c>
      <c r="E9" s="105">
        <f>'كـشـف حضور يومي'!W5</f>
        <v>0</v>
      </c>
      <c r="F9" s="106">
        <f>H9-مراجع!$B$2</f>
        <v>-0.33333333333333331</v>
      </c>
      <c r="G9" s="106">
        <f>مراجع!$B$2-H9</f>
        <v>0.33333333333333331</v>
      </c>
      <c r="H9" s="105">
        <f t="shared" si="0"/>
        <v>0</v>
      </c>
      <c r="I9" s="107">
        <f>'كـشـف حضور يومي'!AA5</f>
        <v>0</v>
      </c>
      <c r="J9" s="218"/>
    </row>
    <row r="10" spans="1:24" ht="21.95" customHeight="1" x14ac:dyDescent="0.2">
      <c r="A10" s="145">
        <f>'كـشـف حضور يومي'!AB1</f>
        <v>1</v>
      </c>
      <c r="B10" s="146" t="str">
        <f>'كـشـف حضور يومي'!AB2</f>
        <v>السبت</v>
      </c>
      <c r="C10" s="217"/>
      <c r="D10" s="105">
        <f>'كـشـف حضور يومي'!AB5</f>
        <v>0</v>
      </c>
      <c r="E10" s="105">
        <f>'كـشـف حضور يومي'!AC5</f>
        <v>0</v>
      </c>
      <c r="F10" s="106">
        <f>H10-مراجع!$B$2</f>
        <v>-0.33333333333333331</v>
      </c>
      <c r="G10" s="106">
        <f>مراجع!$B$2-H10</f>
        <v>0.33333333333333331</v>
      </c>
      <c r="H10" s="105">
        <f t="shared" si="0"/>
        <v>0</v>
      </c>
      <c r="I10" s="107">
        <f>'كـشـف حضور يومي'!AG5</f>
        <v>0</v>
      </c>
      <c r="J10" s="218"/>
    </row>
    <row r="11" spans="1:24" ht="21.95" customHeight="1" x14ac:dyDescent="0.2">
      <c r="A11" s="145">
        <f>'كـشـف حضور يومي'!AH1</f>
        <v>1</v>
      </c>
      <c r="B11" s="146" t="str">
        <f>'كـشـف حضور يومي'!AH2</f>
        <v>السبت</v>
      </c>
      <c r="C11" s="217"/>
      <c r="D11" s="105">
        <f>'كـشـف حضور يومي'!AH5</f>
        <v>0</v>
      </c>
      <c r="E11" s="105">
        <f>'كـشـف حضور يومي'!AI5</f>
        <v>0</v>
      </c>
      <c r="F11" s="106">
        <f>H11-مراجع!$B$2</f>
        <v>-0.33333333333333331</v>
      </c>
      <c r="G11" s="106">
        <f>مراجع!$B$2-H11</f>
        <v>0.33333333333333331</v>
      </c>
      <c r="H11" s="105">
        <f t="shared" si="0"/>
        <v>0</v>
      </c>
      <c r="I11" s="107">
        <f>'كـشـف حضور يومي'!AM5</f>
        <v>0</v>
      </c>
      <c r="J11" s="218"/>
    </row>
    <row r="12" spans="1:24" ht="21.95" customHeight="1" x14ac:dyDescent="0.2">
      <c r="A12" s="145">
        <f>'كـشـف حضور يومي'!AN1</f>
        <v>1</v>
      </c>
      <c r="B12" s="146" t="str">
        <f>'كـشـف حضور يومي'!AN2</f>
        <v>السبت</v>
      </c>
      <c r="C12" s="217"/>
      <c r="D12" s="105">
        <f>'كـشـف حضور يومي'!AN5</f>
        <v>0</v>
      </c>
      <c r="E12" s="105">
        <f>'كـشـف حضور يومي'!AO5</f>
        <v>0</v>
      </c>
      <c r="F12" s="106">
        <f>H12-مراجع!$B$2</f>
        <v>-0.33333333333333331</v>
      </c>
      <c r="G12" s="106">
        <f>مراجع!$B$2-H12</f>
        <v>0.33333333333333331</v>
      </c>
      <c r="H12" s="105">
        <f t="shared" si="0"/>
        <v>0</v>
      </c>
      <c r="I12" s="107">
        <f>'كـشـف حضور يومي'!AS5</f>
        <v>0</v>
      </c>
      <c r="J12" s="218"/>
    </row>
    <row r="13" spans="1:24" ht="21.95" customHeight="1" x14ac:dyDescent="0.2">
      <c r="A13" s="145">
        <f>'كـشـف حضور يومي'!AT1</f>
        <v>1</v>
      </c>
      <c r="B13" s="146" t="str">
        <f>'كـشـف حضور يومي'!AT2</f>
        <v>السبت</v>
      </c>
      <c r="C13" s="217"/>
      <c r="D13" s="105">
        <f>'كـشـف حضور يومي'!AT5</f>
        <v>0</v>
      </c>
      <c r="E13" s="105">
        <f>'كـشـف حضور يومي'!AU5</f>
        <v>0</v>
      </c>
      <c r="F13" s="106">
        <f>H13-مراجع!$B$2</f>
        <v>-0.33333333333333331</v>
      </c>
      <c r="G13" s="106">
        <f>مراجع!$B$2-H13</f>
        <v>0.33333333333333331</v>
      </c>
      <c r="H13" s="105">
        <f t="shared" si="0"/>
        <v>0</v>
      </c>
      <c r="I13" s="107">
        <f>'كـشـف حضور يومي'!AY5</f>
        <v>0</v>
      </c>
      <c r="J13" s="218"/>
    </row>
    <row r="14" spans="1:24" ht="21.95" customHeight="1" x14ac:dyDescent="0.2">
      <c r="A14" s="145">
        <f>'كـشـف حضور يومي'!AZ1</f>
        <v>1</v>
      </c>
      <c r="B14" s="146" t="str">
        <f>'كـشـف حضور يومي'!AZ2</f>
        <v>السبت</v>
      </c>
      <c r="C14" s="217"/>
      <c r="D14" s="105">
        <f>'كـشـف حضور يومي'!AZ5</f>
        <v>0</v>
      </c>
      <c r="E14" s="105">
        <f>'كـشـف حضور يومي'!BA5</f>
        <v>0</v>
      </c>
      <c r="F14" s="106">
        <f>H14-مراجع!$B$2</f>
        <v>-0.33333333333333331</v>
      </c>
      <c r="G14" s="106">
        <f>مراجع!$B$2-H14</f>
        <v>0.33333333333333331</v>
      </c>
      <c r="H14" s="105">
        <f t="shared" si="0"/>
        <v>0</v>
      </c>
      <c r="I14" s="107">
        <f>'كـشـف حضور يومي'!BE5</f>
        <v>0</v>
      </c>
      <c r="J14" s="218"/>
    </row>
    <row r="15" spans="1:24" ht="21.95" customHeight="1" x14ac:dyDescent="0.2">
      <c r="A15" s="145">
        <f>'كـشـف حضور يومي'!BF1</f>
        <v>1</v>
      </c>
      <c r="B15" s="146" t="str">
        <f>'كـشـف حضور يومي'!BF2</f>
        <v>السبت</v>
      </c>
      <c r="C15" s="217"/>
      <c r="D15" s="105">
        <f>'كـشـف حضور يومي'!BF5</f>
        <v>0</v>
      </c>
      <c r="E15" s="105">
        <f>'كـشـف حضور يومي'!BG5</f>
        <v>0</v>
      </c>
      <c r="F15" s="106">
        <f>H15-مراجع!$B$2</f>
        <v>-0.33333333333333331</v>
      </c>
      <c r="G15" s="106">
        <f>مراجع!$B$2-H15</f>
        <v>0.33333333333333331</v>
      </c>
      <c r="H15" s="105">
        <f t="shared" si="0"/>
        <v>0</v>
      </c>
      <c r="I15" s="107">
        <f>'كـشـف حضور يومي'!BK5</f>
        <v>0</v>
      </c>
      <c r="J15" s="218"/>
    </row>
    <row r="16" spans="1:24" ht="21.95" customHeight="1" x14ac:dyDescent="0.2">
      <c r="A16" s="145">
        <f>'كـشـف حضور يومي'!BL1</f>
        <v>1</v>
      </c>
      <c r="B16" s="146" t="str">
        <f>'كـشـف حضور يومي'!BL2</f>
        <v>السبت</v>
      </c>
      <c r="C16" s="217"/>
      <c r="D16" s="105">
        <f>'كـشـف حضور يومي'!BL5</f>
        <v>0</v>
      </c>
      <c r="E16" s="105">
        <f>'كـشـف حضور يومي'!BM5</f>
        <v>0</v>
      </c>
      <c r="F16" s="106">
        <f>H16-مراجع!$B$2</f>
        <v>-0.33333333333333331</v>
      </c>
      <c r="G16" s="106">
        <f>مراجع!$B$2-H16</f>
        <v>0.33333333333333331</v>
      </c>
      <c r="H16" s="105">
        <f t="shared" si="0"/>
        <v>0</v>
      </c>
      <c r="I16" s="107">
        <f>'كـشـف حضور يومي'!BQ5</f>
        <v>0</v>
      </c>
      <c r="J16" s="218"/>
    </row>
    <row r="17" spans="1:15" ht="21.95" customHeight="1" x14ac:dyDescent="0.2">
      <c r="A17" s="145">
        <f>'كـشـف حضور يومي'!BR1</f>
        <v>1</v>
      </c>
      <c r="B17" s="146" t="str">
        <f>'كـشـف حضور يومي'!BR2</f>
        <v>السبت</v>
      </c>
      <c r="C17" s="217"/>
      <c r="D17" s="105">
        <f>'كـشـف حضور يومي'!BR5</f>
        <v>0</v>
      </c>
      <c r="E17" s="105">
        <f>'كـشـف حضور يومي'!BS5</f>
        <v>0</v>
      </c>
      <c r="F17" s="106">
        <f>H17-مراجع!$B$2</f>
        <v>-0.33333333333333331</v>
      </c>
      <c r="G17" s="106">
        <f>مراجع!$B$2-H17</f>
        <v>0.33333333333333331</v>
      </c>
      <c r="H17" s="105">
        <f t="shared" si="0"/>
        <v>0</v>
      </c>
      <c r="I17" s="107">
        <f>'كـشـف حضور يومي'!BW5</f>
        <v>0</v>
      </c>
      <c r="J17" s="218"/>
    </row>
    <row r="18" spans="1:15" ht="21.95" customHeight="1" x14ac:dyDescent="0.2">
      <c r="A18" s="145">
        <f>'كـشـف حضور يومي'!BX1</f>
        <v>1</v>
      </c>
      <c r="B18" s="146" t="str">
        <f>'كـشـف حضور يومي'!BX2</f>
        <v>السبت</v>
      </c>
      <c r="C18" s="217"/>
      <c r="D18" s="105">
        <f>'كـشـف حضور يومي'!BX5</f>
        <v>0</v>
      </c>
      <c r="E18" s="105">
        <f>'كـشـف حضور يومي'!BY5</f>
        <v>0</v>
      </c>
      <c r="F18" s="106">
        <f>H18-مراجع!$B$2</f>
        <v>-0.33333333333333331</v>
      </c>
      <c r="G18" s="106">
        <f>مراجع!$B$2-H18</f>
        <v>0.33333333333333331</v>
      </c>
      <c r="H18" s="105">
        <f t="shared" si="0"/>
        <v>0</v>
      </c>
      <c r="I18" s="107">
        <f>'كـشـف حضور يومي'!CC5</f>
        <v>0</v>
      </c>
      <c r="J18" s="218"/>
    </row>
    <row r="19" spans="1:15" ht="21.95" customHeight="1" x14ac:dyDescent="0.2">
      <c r="A19" s="145">
        <f>'كـشـف حضور يومي'!CD1</f>
        <v>1</v>
      </c>
      <c r="B19" s="146" t="str">
        <f>'كـشـف حضور يومي'!CD2</f>
        <v>السبت</v>
      </c>
      <c r="C19" s="217"/>
      <c r="D19" s="105">
        <f>'كـشـف حضور يومي'!CD5</f>
        <v>0</v>
      </c>
      <c r="E19" s="105">
        <f>'كـشـف حضور يومي'!CE5</f>
        <v>0</v>
      </c>
      <c r="F19" s="106">
        <f>H19-مراجع!$B$2</f>
        <v>-0.33333333333333331</v>
      </c>
      <c r="G19" s="106">
        <f>مراجع!$B$2-H19</f>
        <v>0.33333333333333331</v>
      </c>
      <c r="H19" s="105">
        <f t="shared" si="0"/>
        <v>0</v>
      </c>
      <c r="I19" s="107">
        <f>'كـشـف حضور يومي'!CI5</f>
        <v>0</v>
      </c>
      <c r="J19" s="218"/>
      <c r="O19" s="91"/>
    </row>
    <row r="20" spans="1:15" ht="21.95" customHeight="1" x14ac:dyDescent="0.2">
      <c r="A20" s="145">
        <f>'كـشـف حضور يومي'!CJ1</f>
        <v>1</v>
      </c>
      <c r="B20" s="146" t="str">
        <f>'كـشـف حضور يومي'!CJ2</f>
        <v>السبت</v>
      </c>
      <c r="C20" s="217"/>
      <c r="D20" s="105">
        <f>'كـشـف حضور يومي'!CJ5</f>
        <v>0</v>
      </c>
      <c r="E20" s="105">
        <f>'كـشـف حضور يومي'!CK5</f>
        <v>0</v>
      </c>
      <c r="F20" s="106">
        <f>H20-مراجع!$B$2</f>
        <v>-0.33333333333333331</v>
      </c>
      <c r="G20" s="106">
        <f>مراجع!$B$2-H20</f>
        <v>0.33333333333333331</v>
      </c>
      <c r="H20" s="105">
        <f t="shared" si="0"/>
        <v>0</v>
      </c>
      <c r="I20" s="107">
        <f>'كـشـف حضور يومي'!CO5</f>
        <v>0</v>
      </c>
      <c r="J20" s="218"/>
    </row>
    <row r="21" spans="1:15" ht="21.95" customHeight="1" x14ac:dyDescent="0.2">
      <c r="A21" s="145">
        <f>'كـشـف حضور يومي'!CP1</f>
        <v>1</v>
      </c>
      <c r="B21" s="146" t="str">
        <f>'كـشـف حضور يومي'!CP2</f>
        <v>السبت</v>
      </c>
      <c r="C21" s="217"/>
      <c r="D21" s="105">
        <f>'كـشـف حضور يومي'!CP5</f>
        <v>0</v>
      </c>
      <c r="E21" s="105">
        <f>'كـشـف حضور يومي'!CQ5</f>
        <v>0</v>
      </c>
      <c r="F21" s="106">
        <f>H21-مراجع!$B$2</f>
        <v>-0.33333333333333331</v>
      </c>
      <c r="G21" s="106">
        <f>مراجع!$B$2-H21</f>
        <v>0.33333333333333331</v>
      </c>
      <c r="H21" s="105">
        <f t="shared" si="0"/>
        <v>0</v>
      </c>
      <c r="I21" s="107">
        <f>'كـشـف حضور يومي'!CU5</f>
        <v>0</v>
      </c>
      <c r="J21" s="218"/>
    </row>
    <row r="22" spans="1:15" ht="21.95" customHeight="1" x14ac:dyDescent="0.2">
      <c r="A22" s="145">
        <f>'كـشـف حضور يومي'!CV1</f>
        <v>1</v>
      </c>
      <c r="B22" s="146" t="str">
        <f>'كـشـف حضور يومي'!CV2</f>
        <v>السبت</v>
      </c>
      <c r="C22" s="217"/>
      <c r="D22" s="105">
        <f>'كـشـف حضور يومي'!CV5</f>
        <v>0</v>
      </c>
      <c r="E22" s="105">
        <f>'كـشـف حضور يومي'!CW5</f>
        <v>0</v>
      </c>
      <c r="F22" s="106">
        <f>H22-مراجع!$B$2</f>
        <v>-0.33333333333333331</v>
      </c>
      <c r="G22" s="106">
        <f>مراجع!$B$2-H22</f>
        <v>0.33333333333333331</v>
      </c>
      <c r="H22" s="105">
        <f t="shared" si="0"/>
        <v>0</v>
      </c>
      <c r="I22" s="107">
        <f>'كـشـف حضور يومي'!DA5</f>
        <v>0</v>
      </c>
      <c r="J22" s="218"/>
    </row>
    <row r="23" spans="1:15" ht="21.95" customHeight="1" x14ac:dyDescent="0.2">
      <c r="A23" s="145">
        <f>'كـشـف حضور يومي'!DB1</f>
        <v>1</v>
      </c>
      <c r="B23" s="146" t="str">
        <f>'كـشـف حضور يومي'!DB2</f>
        <v>السبت</v>
      </c>
      <c r="C23" s="217"/>
      <c r="D23" s="105">
        <f>'كـشـف حضور يومي'!DB5</f>
        <v>0</v>
      </c>
      <c r="E23" s="105">
        <f>'كـشـف حضور يومي'!DC5</f>
        <v>0</v>
      </c>
      <c r="F23" s="106">
        <f>H23-مراجع!$B$2</f>
        <v>-0.33333333333333331</v>
      </c>
      <c r="G23" s="106">
        <f>مراجع!$B$2-H23</f>
        <v>0.33333333333333331</v>
      </c>
      <c r="H23" s="105">
        <f t="shared" si="0"/>
        <v>0</v>
      </c>
      <c r="I23" s="107">
        <f>'كـشـف حضور يومي'!DG5</f>
        <v>0</v>
      </c>
      <c r="J23" s="218"/>
    </row>
    <row r="24" spans="1:15" ht="21.95" customHeight="1" x14ac:dyDescent="0.2">
      <c r="A24" s="145">
        <f>'كـشـف حضور يومي'!DH1</f>
        <v>1</v>
      </c>
      <c r="B24" s="146" t="str">
        <f>'كـشـف حضور يومي'!DH2</f>
        <v>السبت</v>
      </c>
      <c r="C24" s="217"/>
      <c r="D24" s="105">
        <f>'كـشـف حضور يومي'!DH5</f>
        <v>0</v>
      </c>
      <c r="E24" s="105">
        <f>'كـشـف حضور يومي'!DI5</f>
        <v>0</v>
      </c>
      <c r="F24" s="106">
        <f>H24-مراجع!$B$2</f>
        <v>-0.33333333333333331</v>
      </c>
      <c r="G24" s="106">
        <f>مراجع!$B$2-H24</f>
        <v>0.33333333333333331</v>
      </c>
      <c r="H24" s="105">
        <f t="shared" si="0"/>
        <v>0</v>
      </c>
      <c r="I24" s="107">
        <f>'كـشـف حضور يومي'!DM5</f>
        <v>0</v>
      </c>
      <c r="J24" s="218"/>
    </row>
    <row r="25" spans="1:15" ht="21.95" customHeight="1" x14ac:dyDescent="0.2">
      <c r="A25" s="145">
        <f>'كـشـف حضور يومي'!DN1</f>
        <v>1</v>
      </c>
      <c r="B25" s="146" t="str">
        <f>'كـشـف حضور يومي'!DN2</f>
        <v>السبت</v>
      </c>
      <c r="C25" s="217"/>
      <c r="D25" s="105">
        <f>'كـشـف حضور يومي'!DN5</f>
        <v>0</v>
      </c>
      <c r="E25" s="105">
        <f>'كـشـف حضور يومي'!DO5</f>
        <v>0</v>
      </c>
      <c r="F25" s="106">
        <f>H25-مراجع!$B$2</f>
        <v>-0.33333333333333331</v>
      </c>
      <c r="G25" s="106">
        <f>مراجع!$B$2-H25</f>
        <v>0.33333333333333331</v>
      </c>
      <c r="H25" s="105">
        <f t="shared" si="0"/>
        <v>0</v>
      </c>
      <c r="I25" s="107">
        <f>'كـشـف حضور يومي'!DS5</f>
        <v>0</v>
      </c>
      <c r="J25" s="218"/>
    </row>
    <row r="26" spans="1:15" ht="21.95" customHeight="1" x14ac:dyDescent="0.2">
      <c r="A26" s="145">
        <f>'كـشـف حضور يومي'!DT1</f>
        <v>1</v>
      </c>
      <c r="B26" s="146" t="str">
        <f>'كـشـف حضور يومي'!DT2</f>
        <v>السبت</v>
      </c>
      <c r="C26" s="217"/>
      <c r="D26" s="105">
        <f>'كـشـف حضور يومي'!DT4</f>
        <v>0.375</v>
      </c>
      <c r="E26" s="105">
        <f>'كـشـف حضور يومي'!DU4</f>
        <v>0.70833333333333337</v>
      </c>
      <c r="F26" s="106">
        <f>H26-مراجع!$B$2</f>
        <v>0</v>
      </c>
      <c r="G26" s="106">
        <f>مراجع!$B$2-H26</f>
        <v>0</v>
      </c>
      <c r="H26" s="105">
        <f t="shared" si="0"/>
        <v>0.33333333333333337</v>
      </c>
      <c r="I26" s="107">
        <f>'كـشـف حضور يومي'!DY5</f>
        <v>0</v>
      </c>
      <c r="J26" s="218"/>
    </row>
    <row r="27" spans="1:15" ht="21.95" customHeight="1" x14ac:dyDescent="0.2">
      <c r="A27" s="145">
        <f>'كـشـف حضور يومي'!DZ1</f>
        <v>1</v>
      </c>
      <c r="B27" s="146" t="str">
        <f>'كـشـف حضور يومي'!DZ2</f>
        <v>السبت</v>
      </c>
      <c r="C27" s="217"/>
      <c r="D27" s="105">
        <f>'كـشـف حضور يومي'!DZ5</f>
        <v>0</v>
      </c>
      <c r="E27" s="105">
        <f>'كـشـف حضور يومي'!EA5</f>
        <v>0</v>
      </c>
      <c r="F27" s="106">
        <f>H27-مراجع!$B$2</f>
        <v>-0.33333333333333331</v>
      </c>
      <c r="G27" s="106">
        <f>مراجع!$B$2-H27</f>
        <v>0.33333333333333331</v>
      </c>
      <c r="H27" s="105">
        <f t="shared" si="0"/>
        <v>0</v>
      </c>
      <c r="I27" s="107">
        <f>'كـشـف حضور يومي'!EE5</f>
        <v>0</v>
      </c>
      <c r="J27" s="218"/>
    </row>
    <row r="28" spans="1:15" ht="21.95" customHeight="1" x14ac:dyDescent="0.2">
      <c r="A28" s="145">
        <f>'كـشـف حضور يومي'!EF1</f>
        <v>1</v>
      </c>
      <c r="B28" s="146" t="str">
        <f>'كـشـف حضور يومي'!EF2</f>
        <v>السبت</v>
      </c>
      <c r="C28" s="217"/>
      <c r="D28" s="105">
        <f>'كـشـف حضور يومي'!EF5</f>
        <v>0</v>
      </c>
      <c r="E28" s="105">
        <f>'كـشـف حضور يومي'!EG5</f>
        <v>0</v>
      </c>
      <c r="F28" s="106">
        <f>H28-مراجع!$B$2</f>
        <v>-0.33333333333333331</v>
      </c>
      <c r="G28" s="106">
        <f>مراجع!$B$2-H28</f>
        <v>0.33333333333333331</v>
      </c>
      <c r="H28" s="105">
        <f t="shared" si="0"/>
        <v>0</v>
      </c>
      <c r="I28" s="107">
        <f>'كـشـف حضور يومي'!EK5</f>
        <v>0</v>
      </c>
      <c r="J28" s="218"/>
    </row>
    <row r="29" spans="1:15" ht="21.95" customHeight="1" x14ac:dyDescent="0.2">
      <c r="A29" s="145">
        <f>'كـشـف حضور يومي'!EL1</f>
        <v>1</v>
      </c>
      <c r="B29" s="146" t="str">
        <f>'كـشـف حضور يومي'!EL2</f>
        <v>السبت</v>
      </c>
      <c r="C29" s="217"/>
      <c r="D29" s="105">
        <f>'كـشـف حضور يومي'!EL5</f>
        <v>0</v>
      </c>
      <c r="E29" s="105">
        <f>'كـشـف حضور يومي'!EM5</f>
        <v>0</v>
      </c>
      <c r="F29" s="106">
        <f>H29-مراجع!$B$2</f>
        <v>-0.33333333333333331</v>
      </c>
      <c r="G29" s="106">
        <f>مراجع!$B$2-H29</f>
        <v>0.33333333333333331</v>
      </c>
      <c r="H29" s="105">
        <f t="shared" si="0"/>
        <v>0</v>
      </c>
      <c r="I29" s="107">
        <f>'كـشـف حضور يومي'!EQ5</f>
        <v>0</v>
      </c>
      <c r="J29" s="218"/>
    </row>
    <row r="30" spans="1:15" ht="21.95" customHeight="1" x14ac:dyDescent="0.2">
      <c r="A30" s="145">
        <f>'كـشـف حضور يومي'!ER1</f>
        <v>1</v>
      </c>
      <c r="B30" s="146" t="str">
        <f>'كـشـف حضور يومي'!ER2</f>
        <v>السبت</v>
      </c>
      <c r="C30" s="217"/>
      <c r="D30" s="105">
        <f>'كـشـف حضور يومي'!ER5</f>
        <v>0</v>
      </c>
      <c r="E30" s="105">
        <f>'كـشـف حضور يومي'!ES5</f>
        <v>0</v>
      </c>
      <c r="F30" s="106">
        <f>H30-مراجع!$B$2</f>
        <v>-0.33333333333333331</v>
      </c>
      <c r="G30" s="106">
        <f>مراجع!$B$2-H30</f>
        <v>0.33333333333333331</v>
      </c>
      <c r="H30" s="105">
        <f t="shared" si="0"/>
        <v>0</v>
      </c>
      <c r="I30" s="107">
        <f>'كـشـف حضور يومي'!EW5</f>
        <v>0</v>
      </c>
      <c r="J30" s="218"/>
    </row>
    <row r="31" spans="1:15" ht="21.95" customHeight="1" x14ac:dyDescent="0.2">
      <c r="A31" s="145">
        <f>'كـشـف حضور يومي'!EX1</f>
        <v>1</v>
      </c>
      <c r="B31" s="146" t="str">
        <f>'كـشـف حضور يومي'!EX2</f>
        <v>السبت</v>
      </c>
      <c r="C31" s="217"/>
      <c r="D31" s="105">
        <f>'كـشـف حضور يومي'!EX5</f>
        <v>0</v>
      </c>
      <c r="E31" s="105">
        <f>'كـشـف حضور يومي'!EY5</f>
        <v>0</v>
      </c>
      <c r="F31" s="106">
        <f>H31-مراجع!$B$2</f>
        <v>-0.33333333333333331</v>
      </c>
      <c r="G31" s="106">
        <f>مراجع!$B$2-H31</f>
        <v>0.33333333333333331</v>
      </c>
      <c r="H31" s="105">
        <f t="shared" si="0"/>
        <v>0</v>
      </c>
      <c r="I31" s="107">
        <f>'كـشـف حضور يومي'!FC5</f>
        <v>0</v>
      </c>
      <c r="J31" s="218"/>
    </row>
    <row r="32" spans="1:15" ht="21.95" customHeight="1" x14ac:dyDescent="0.2">
      <c r="A32" s="145">
        <f>'كـشـف حضور يومي'!FD1</f>
        <v>1</v>
      </c>
      <c r="B32" s="146" t="str">
        <f>'كـشـف حضور يومي'!FD2</f>
        <v>السبت</v>
      </c>
      <c r="C32" s="217"/>
      <c r="D32" s="105">
        <f>'كـشـف حضور يومي'!FD5</f>
        <v>0</v>
      </c>
      <c r="E32" s="105">
        <f>'كـشـف حضور يومي'!FE5</f>
        <v>0</v>
      </c>
      <c r="F32" s="106">
        <f>H32-مراجع!$B$2</f>
        <v>-0.33333333333333331</v>
      </c>
      <c r="G32" s="106">
        <f>مراجع!$B$2-H32</f>
        <v>0.33333333333333331</v>
      </c>
      <c r="H32" s="105">
        <f t="shared" si="0"/>
        <v>0</v>
      </c>
      <c r="I32" s="107">
        <f>'كـشـف حضور يومي'!FI5</f>
        <v>0</v>
      </c>
      <c r="J32" s="218"/>
    </row>
    <row r="33" spans="1:10" ht="21.95" customHeight="1" x14ac:dyDescent="0.2">
      <c r="A33" s="145">
        <f>'كـشـف حضور يومي'!FJ1</f>
        <v>1</v>
      </c>
      <c r="B33" s="146" t="str">
        <f>'كـشـف حضور يومي'!FJ2</f>
        <v>السبت</v>
      </c>
      <c r="C33" s="217"/>
      <c r="D33" s="105">
        <f>'كـشـف حضور يومي'!FJ5</f>
        <v>0</v>
      </c>
      <c r="E33" s="105">
        <f>'كـشـف حضور يومي'!FK5</f>
        <v>0</v>
      </c>
      <c r="F33" s="106">
        <f>H33-مراجع!$B$2</f>
        <v>-0.33333333333333331</v>
      </c>
      <c r="G33" s="106">
        <f>مراجع!$B$2-H33</f>
        <v>0.33333333333333331</v>
      </c>
      <c r="H33" s="105">
        <f t="shared" si="0"/>
        <v>0</v>
      </c>
      <c r="I33" s="107">
        <f>'كـشـف حضور يومي'!FO5</f>
        <v>0</v>
      </c>
      <c r="J33" s="218"/>
    </row>
    <row r="34" spans="1:10" ht="21.95" customHeight="1" x14ac:dyDescent="0.2">
      <c r="A34" s="145">
        <f>'كـشـف حضور يومي'!FP1</f>
        <v>1</v>
      </c>
      <c r="B34" s="146" t="str">
        <f>'كـشـف حضور يومي'!FP2</f>
        <v>السبت</v>
      </c>
      <c r="C34" s="217"/>
      <c r="D34" s="105">
        <f>'كـشـف حضور يومي'!FP5</f>
        <v>0</v>
      </c>
      <c r="E34" s="105">
        <f>'كـشـف حضور يومي'!FQ5</f>
        <v>0</v>
      </c>
      <c r="F34" s="106">
        <f>H34-مراجع!$B$2</f>
        <v>-0.33333333333333331</v>
      </c>
      <c r="G34" s="106">
        <f>مراجع!$B$2-H34</f>
        <v>0.33333333333333331</v>
      </c>
      <c r="H34" s="105">
        <f t="shared" si="0"/>
        <v>0</v>
      </c>
      <c r="I34" s="107">
        <f>'كـشـف حضور يومي'!FU5</f>
        <v>0</v>
      </c>
      <c r="J34" s="218"/>
    </row>
    <row r="35" spans="1:10" ht="21.95" customHeight="1" x14ac:dyDescent="0.2">
      <c r="A35" s="145">
        <f>'كـشـف حضور يومي'!FV1</f>
        <v>1</v>
      </c>
      <c r="B35" s="146" t="str">
        <f>'كـشـف حضور يومي'!FV2</f>
        <v>السبت</v>
      </c>
      <c r="C35" s="217"/>
      <c r="D35" s="105">
        <f>'كـشـف حضور يومي'!FV5</f>
        <v>0</v>
      </c>
      <c r="E35" s="105">
        <f>'كـشـف حضور يومي'!FW5</f>
        <v>0</v>
      </c>
      <c r="F35" s="106">
        <f>H35-مراجع!$B$2</f>
        <v>-0.33333333333333331</v>
      </c>
      <c r="G35" s="106">
        <f>مراجع!$B$2-H35</f>
        <v>0.33333333333333331</v>
      </c>
      <c r="H35" s="105">
        <f t="shared" si="0"/>
        <v>0</v>
      </c>
      <c r="I35" s="107">
        <f>'كـشـف حضور يومي'!GA5</f>
        <v>0</v>
      </c>
      <c r="J35" s="218"/>
    </row>
    <row r="36" spans="1:10" ht="21.95" customHeight="1" x14ac:dyDescent="0.2">
      <c r="A36" s="145">
        <f>'كـشـف حضور يومي'!GB1</f>
        <v>1</v>
      </c>
      <c r="B36" s="146" t="str">
        <f>'كـشـف حضور يومي'!GB2</f>
        <v>السبت</v>
      </c>
      <c r="C36" s="217"/>
      <c r="D36" s="105">
        <f>'كـشـف حضور يومي'!GB5</f>
        <v>0</v>
      </c>
      <c r="E36" s="105">
        <f>'كـشـف حضور يومي'!GC5</f>
        <v>0</v>
      </c>
      <c r="F36" s="106">
        <f>H36-مراجع!$B$2</f>
        <v>-0.33333333333333331</v>
      </c>
      <c r="G36" s="106">
        <f>مراجع!$B$2-H36</f>
        <v>0.33333333333333331</v>
      </c>
      <c r="H36" s="105">
        <f t="shared" si="0"/>
        <v>0</v>
      </c>
      <c r="I36" s="107">
        <f>'كـشـف حضور يومي'!GG5</f>
        <v>0</v>
      </c>
      <c r="J36" s="218"/>
    </row>
    <row r="37" spans="1:10" ht="21.95" customHeight="1" x14ac:dyDescent="0.2">
      <c r="A37" s="216" t="s">
        <v>64</v>
      </c>
      <c r="B37" s="216"/>
      <c r="C37" s="216"/>
      <c r="D37" s="216"/>
      <c r="E37" s="216"/>
      <c r="F37" s="220">
        <f>SUM(H6:H36)</f>
        <v>0.33333333333333337</v>
      </c>
      <c r="G37" s="220"/>
      <c r="H37" s="220"/>
      <c r="I37" s="220"/>
      <c r="J37" s="218"/>
    </row>
    <row r="38" spans="1:10" ht="21.95" customHeight="1" x14ac:dyDescent="0.2">
      <c r="A38" s="215" t="s">
        <v>59</v>
      </c>
      <c r="B38" s="215"/>
      <c r="C38" s="215"/>
      <c r="D38" s="215"/>
      <c r="E38" s="215"/>
      <c r="F38" s="221">
        <f>F37*I2*24</f>
        <v>120.00000000000003</v>
      </c>
      <c r="G38" s="221"/>
      <c r="H38" s="221"/>
      <c r="I38" s="221"/>
      <c r="J38" s="218"/>
    </row>
  </sheetData>
  <sheetProtection algorithmName="SHA-512" hashValue="LiYM0Pp+cR/1g6z+2JMvQPIRkjod0QsLIQrLvhgImEGNnAV46jywicWUWeh2HcUnPnrxRIv9QdDbrFjwV2oW2w==" saltValue="lOLg8ZnTULZFWJmwSpJX6Q==" spinCount="100000" sheet="1" objects="1" scenarios="1"/>
  <mergeCells count="15">
    <mergeCell ref="A2:B2"/>
    <mergeCell ref="D1:F2"/>
    <mergeCell ref="G1:H1"/>
    <mergeCell ref="G2:H2"/>
    <mergeCell ref="J1:J1048576"/>
    <mergeCell ref="A37:E37"/>
    <mergeCell ref="F37:I37"/>
    <mergeCell ref="A38:E38"/>
    <mergeCell ref="F38:I38"/>
    <mergeCell ref="A1:B1"/>
    <mergeCell ref="A3:I3"/>
    <mergeCell ref="A4:B4"/>
    <mergeCell ref="H4:I4"/>
    <mergeCell ref="C4:E4"/>
    <mergeCell ref="C5:C36"/>
  </mergeCells>
  <pageMargins left="0.7" right="0.7" top="0.75" bottom="0.75" header="0.3" footer="0.3"/>
  <pageSetup scale="32"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05CACFC-CF1C-4B25-9A3C-04C2FEFCA216}">
          <x14:formula1>
            <xm:f>مراجع!$B$4:$B$15</xm:f>
          </x14:formula1>
          <xm:sqref>C4:E4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38"/>
  <sheetViews>
    <sheetView rightToLeft="1" zoomScaleNormal="100" workbookViewId="0">
      <pane ySplit="5" topLeftCell="A6" activePane="bottomLeft" state="frozen"/>
      <selection pane="bottomLeft" activeCell="G1" sqref="G1:I2"/>
    </sheetView>
  </sheetViews>
  <sheetFormatPr defaultColWidth="10.75" defaultRowHeight="15" customHeight="1" x14ac:dyDescent="0.2"/>
  <cols>
    <col min="1" max="9" width="12.75" style="86" customWidth="1"/>
    <col min="10" max="10" width="79.625" style="86" customWidth="1"/>
    <col min="11" max="11" width="4.625" style="85" bestFit="1" customWidth="1"/>
    <col min="12" max="12" width="9.125" style="85" bestFit="1" customWidth="1"/>
    <col min="13" max="13" width="6.375" style="85" bestFit="1" customWidth="1"/>
    <col min="14" max="14" width="10.125" style="85" bestFit="1" customWidth="1"/>
    <col min="15" max="15" width="10" style="85" bestFit="1" customWidth="1"/>
    <col min="16" max="16" width="9.125" style="85" bestFit="1" customWidth="1"/>
    <col min="17" max="17" width="9.75" style="85" bestFit="1" customWidth="1"/>
    <col min="18" max="18" width="9" style="85" bestFit="1" customWidth="1"/>
    <col min="19" max="20" width="6.625" style="85" bestFit="1" customWidth="1"/>
    <col min="21" max="21" width="10.125" style="85" bestFit="1" customWidth="1"/>
    <col min="22" max="16384" width="10.75" style="85"/>
  </cols>
  <sheetData>
    <row r="1" spans="1:24" ht="21.95" customHeight="1" x14ac:dyDescent="0.2">
      <c r="A1" s="208" t="s">
        <v>43</v>
      </c>
      <c r="B1" s="208"/>
      <c r="C1" s="96" t="s">
        <v>82</v>
      </c>
      <c r="D1" s="209"/>
      <c r="E1" s="209"/>
      <c r="F1" s="209"/>
      <c r="G1" s="208" t="s">
        <v>21</v>
      </c>
      <c r="H1" s="208"/>
      <c r="I1" s="97" t="s">
        <v>82</v>
      </c>
      <c r="J1"/>
      <c r="K1"/>
      <c r="N1" s="89"/>
      <c r="O1" s="89"/>
      <c r="P1" s="89"/>
      <c r="Q1" s="89"/>
      <c r="R1" s="89"/>
      <c r="S1" s="89"/>
      <c r="T1" s="89"/>
      <c r="U1" s="89"/>
      <c r="V1" s="89"/>
      <c r="W1" s="89"/>
      <c r="X1" s="89"/>
    </row>
    <row r="2" spans="1:24" ht="21.95" customHeight="1" x14ac:dyDescent="0.2">
      <c r="A2" s="207" t="s">
        <v>52</v>
      </c>
      <c r="B2" s="207"/>
      <c r="C2" s="98" t="s">
        <v>82</v>
      </c>
      <c r="D2" s="209"/>
      <c r="E2" s="209"/>
      <c r="F2" s="209"/>
      <c r="G2" s="207" t="s">
        <v>53</v>
      </c>
      <c r="H2" s="207"/>
      <c r="I2" s="99">
        <v>15</v>
      </c>
      <c r="J2"/>
      <c r="K2"/>
      <c r="L2" s="118"/>
      <c r="O2" s="87"/>
      <c r="P2" s="88"/>
      <c r="Q2" s="88"/>
      <c r="R2" s="88"/>
      <c r="S2" s="88"/>
      <c r="T2" s="88"/>
      <c r="U2" s="88"/>
      <c r="V2" s="88"/>
      <c r="W2" s="88"/>
      <c r="X2" s="88"/>
    </row>
    <row r="3" spans="1:24" ht="21.95" customHeight="1" x14ac:dyDescent="0.2">
      <c r="A3" s="223" t="s">
        <v>30</v>
      </c>
      <c r="B3" s="223"/>
      <c r="C3" s="223"/>
      <c r="D3" s="223"/>
      <c r="E3" s="223"/>
      <c r="F3" s="223"/>
      <c r="G3" s="223"/>
      <c r="H3" s="223"/>
      <c r="I3" s="223"/>
      <c r="J3" s="92"/>
      <c r="K3" s="86"/>
      <c r="L3" s="86"/>
      <c r="M3" s="86"/>
      <c r="N3" s="86"/>
      <c r="O3" s="86"/>
      <c r="P3" s="86"/>
      <c r="Q3" s="90"/>
      <c r="R3" s="90"/>
      <c r="S3" s="90"/>
      <c r="T3" s="90"/>
    </row>
    <row r="4" spans="1:24" ht="21.95" customHeight="1" x14ac:dyDescent="0.2">
      <c r="A4" s="213" t="s">
        <v>4</v>
      </c>
      <c r="B4" s="213"/>
      <c r="C4" s="213" t="s">
        <v>42</v>
      </c>
      <c r="D4" s="213"/>
      <c r="E4" s="213"/>
      <c r="F4" s="144" t="s">
        <v>54</v>
      </c>
      <c r="G4" s="144"/>
      <c r="H4" s="214" t="s">
        <v>82</v>
      </c>
      <c r="I4" s="214"/>
      <c r="J4" s="92"/>
      <c r="K4" s="86"/>
      <c r="L4" s="86"/>
      <c r="M4" s="86"/>
      <c r="N4" s="86"/>
      <c r="O4" s="86"/>
      <c r="P4" s="86"/>
      <c r="Q4" s="90"/>
      <c r="R4" s="90"/>
      <c r="S4" s="90"/>
      <c r="T4" s="90"/>
    </row>
    <row r="5" spans="1:24" ht="21.95" customHeight="1" x14ac:dyDescent="0.2">
      <c r="A5" s="100" t="s">
        <v>56</v>
      </c>
      <c r="B5" s="100" t="s">
        <v>55</v>
      </c>
      <c r="C5" s="217"/>
      <c r="D5" s="102" t="s">
        <v>23</v>
      </c>
      <c r="E5" s="102" t="s">
        <v>24</v>
      </c>
      <c r="F5" s="103" t="s">
        <v>57</v>
      </c>
      <c r="G5" s="104" t="s">
        <v>58</v>
      </c>
      <c r="H5" s="102" t="s">
        <v>17</v>
      </c>
      <c r="I5" s="102" t="s">
        <v>25</v>
      </c>
      <c r="J5" s="93"/>
    </row>
    <row r="6" spans="1:24" ht="21.95" customHeight="1" x14ac:dyDescent="0.2">
      <c r="A6" s="145">
        <f>'كـشـف حضور يومي'!D1</f>
        <v>1</v>
      </c>
      <c r="B6" s="146" t="str">
        <f>'كـشـف حضور يومي'!D2</f>
        <v>السبت</v>
      </c>
      <c r="C6" s="217"/>
      <c r="D6" s="105">
        <f>'كـشـف حضور يومي'!D6</f>
        <v>0</v>
      </c>
      <c r="E6" s="105">
        <f>'كـشـف حضور يومي'!E6</f>
        <v>0</v>
      </c>
      <c r="F6" s="106">
        <f>H6-مراجع!$B$2</f>
        <v>-0.33333333333333331</v>
      </c>
      <c r="G6" s="106">
        <f>مراجع!$B$2-H6</f>
        <v>0.33333333333333331</v>
      </c>
      <c r="H6" s="105">
        <f>SUM(E6-D6)</f>
        <v>0</v>
      </c>
      <c r="I6" s="107">
        <f>'كـشـف حضور يومي'!I6</f>
        <v>0</v>
      </c>
      <c r="J6" s="94"/>
    </row>
    <row r="7" spans="1:24" ht="21.95" customHeight="1" x14ac:dyDescent="0.2">
      <c r="A7" s="145">
        <f>'كـشـف حضور يومي'!J1</f>
        <v>1</v>
      </c>
      <c r="B7" s="146" t="str">
        <f>'كـشـف حضور يومي'!J2</f>
        <v>السبت</v>
      </c>
      <c r="C7" s="217"/>
      <c r="D7" s="105">
        <f>'كـشـف حضور يومي'!J6</f>
        <v>0</v>
      </c>
      <c r="E7" s="105">
        <f>'كـشـف حضور يومي'!K6</f>
        <v>0</v>
      </c>
      <c r="F7" s="106">
        <f>H7-مراجع!$B$2</f>
        <v>-0.33333333333333331</v>
      </c>
      <c r="G7" s="106">
        <f>مراجع!$B$2-H7</f>
        <v>0.33333333333333331</v>
      </c>
      <c r="H7" s="105">
        <f>SUM(E7-D7)</f>
        <v>0</v>
      </c>
      <c r="I7" s="107">
        <f>'كـشـف حضور يومي'!O6</f>
        <v>0</v>
      </c>
      <c r="J7" s="94"/>
    </row>
    <row r="8" spans="1:24" ht="21.95" customHeight="1" x14ac:dyDescent="0.2">
      <c r="A8" s="145">
        <f>'كـشـف حضور يومي'!P1</f>
        <v>1</v>
      </c>
      <c r="B8" s="146" t="str">
        <f>'كـشـف حضور يومي'!P2</f>
        <v>السبت</v>
      </c>
      <c r="C8" s="217"/>
      <c r="D8" s="105">
        <f>'كـشـف حضور يومي'!P6</f>
        <v>0</v>
      </c>
      <c r="E8" s="105">
        <f>'كـشـف حضور يومي'!Q6</f>
        <v>0</v>
      </c>
      <c r="F8" s="106">
        <f>H8-مراجع!$B$2</f>
        <v>-0.33333333333333331</v>
      </c>
      <c r="G8" s="106">
        <f>مراجع!$B$2-H8</f>
        <v>0.33333333333333331</v>
      </c>
      <c r="H8" s="105">
        <f t="shared" ref="H8:H36" si="0">SUM(E8-D8)</f>
        <v>0</v>
      </c>
      <c r="I8" s="107">
        <f>'كـشـف حضور يومي'!U6</f>
        <v>0</v>
      </c>
      <c r="J8" s="94"/>
    </row>
    <row r="9" spans="1:24" ht="21.95" customHeight="1" x14ac:dyDescent="0.2">
      <c r="A9" s="145">
        <f>'كـشـف حضور يومي'!V1</f>
        <v>1</v>
      </c>
      <c r="B9" s="147" t="str">
        <f>'كـشـف حضور يومي'!V2</f>
        <v>السبت</v>
      </c>
      <c r="C9" s="217"/>
      <c r="D9" s="105">
        <f>'كـشـف حضور يومي'!V6</f>
        <v>0</v>
      </c>
      <c r="E9" s="105">
        <f>'كـشـف حضور يومي'!W6</f>
        <v>0</v>
      </c>
      <c r="F9" s="106">
        <f>H9-مراجع!$B$2</f>
        <v>-0.33333333333333331</v>
      </c>
      <c r="G9" s="106">
        <f>مراجع!$B$2-H9</f>
        <v>0.33333333333333331</v>
      </c>
      <c r="H9" s="105">
        <f t="shared" si="0"/>
        <v>0</v>
      </c>
      <c r="I9" s="107">
        <f>'كـشـف حضور يومي'!AA6</f>
        <v>0</v>
      </c>
      <c r="J9" s="94"/>
    </row>
    <row r="10" spans="1:24" ht="21.95" customHeight="1" x14ac:dyDescent="0.2">
      <c r="A10" s="145">
        <f>'كـشـف حضور يومي'!AB1</f>
        <v>1</v>
      </c>
      <c r="B10" s="146" t="str">
        <f>'كـشـف حضور يومي'!AB2</f>
        <v>السبت</v>
      </c>
      <c r="C10" s="217"/>
      <c r="D10" s="105">
        <f>'كـشـف حضور يومي'!AB6</f>
        <v>0</v>
      </c>
      <c r="E10" s="105">
        <f>'كـشـف حضور يومي'!AC6</f>
        <v>0</v>
      </c>
      <c r="F10" s="106">
        <f>H10-مراجع!$B$2</f>
        <v>-0.33333333333333331</v>
      </c>
      <c r="G10" s="106">
        <f>مراجع!$B$2-H10</f>
        <v>0.33333333333333331</v>
      </c>
      <c r="H10" s="105">
        <f t="shared" si="0"/>
        <v>0</v>
      </c>
      <c r="I10" s="107">
        <f>'كـشـف حضور يومي'!AG6</f>
        <v>0</v>
      </c>
      <c r="J10" s="94"/>
    </row>
    <row r="11" spans="1:24" ht="21.95" customHeight="1" x14ac:dyDescent="0.2">
      <c r="A11" s="145">
        <f>'كـشـف حضور يومي'!AH1</f>
        <v>1</v>
      </c>
      <c r="B11" s="146" t="str">
        <f>'كـشـف حضور يومي'!AH2</f>
        <v>السبت</v>
      </c>
      <c r="C11" s="217"/>
      <c r="D11" s="105">
        <f>'كـشـف حضور يومي'!AH6</f>
        <v>0</v>
      </c>
      <c r="E11" s="105">
        <f>'كـشـف حضور يومي'!AI6</f>
        <v>0</v>
      </c>
      <c r="F11" s="106">
        <f>H11-مراجع!$B$2</f>
        <v>-0.33333333333333331</v>
      </c>
      <c r="G11" s="106">
        <f>مراجع!$B$2-H11</f>
        <v>0.33333333333333331</v>
      </c>
      <c r="H11" s="105">
        <f t="shared" si="0"/>
        <v>0</v>
      </c>
      <c r="I11" s="107">
        <f>'كـشـف حضور يومي'!AM6</f>
        <v>0</v>
      </c>
      <c r="J11" s="94"/>
    </row>
    <row r="12" spans="1:24" ht="21.95" customHeight="1" x14ac:dyDescent="0.2">
      <c r="A12" s="145">
        <f>'كـشـف حضور يومي'!AN1</f>
        <v>1</v>
      </c>
      <c r="B12" s="146" t="str">
        <f>'كـشـف حضور يومي'!AN2</f>
        <v>السبت</v>
      </c>
      <c r="C12" s="217"/>
      <c r="D12" s="105">
        <f>'كـشـف حضور يومي'!AN6</f>
        <v>0</v>
      </c>
      <c r="E12" s="105">
        <f>'كـشـف حضور يومي'!AO6</f>
        <v>0</v>
      </c>
      <c r="F12" s="106">
        <f>H12-مراجع!$B$2</f>
        <v>-0.33333333333333331</v>
      </c>
      <c r="G12" s="106">
        <f>مراجع!$B$2-H12</f>
        <v>0.33333333333333331</v>
      </c>
      <c r="H12" s="105">
        <f t="shared" si="0"/>
        <v>0</v>
      </c>
      <c r="I12" s="107">
        <f>'كـشـف حضور يومي'!AS6</f>
        <v>0</v>
      </c>
      <c r="J12" s="94"/>
    </row>
    <row r="13" spans="1:24" ht="21.95" customHeight="1" x14ac:dyDescent="0.2">
      <c r="A13" s="145">
        <f>'كـشـف حضور يومي'!AT1</f>
        <v>1</v>
      </c>
      <c r="B13" s="146" t="str">
        <f>'كـشـف حضور يومي'!AT2</f>
        <v>السبت</v>
      </c>
      <c r="C13" s="217"/>
      <c r="D13" s="105">
        <f>'كـشـف حضور يومي'!AT6</f>
        <v>0</v>
      </c>
      <c r="E13" s="105">
        <f>'كـشـف حضور يومي'!AU6</f>
        <v>0</v>
      </c>
      <c r="F13" s="106">
        <f>H13-مراجع!$B$2</f>
        <v>-0.33333333333333331</v>
      </c>
      <c r="G13" s="106">
        <f>مراجع!$B$2-H13</f>
        <v>0.33333333333333331</v>
      </c>
      <c r="H13" s="105">
        <f t="shared" si="0"/>
        <v>0</v>
      </c>
      <c r="I13" s="107">
        <f>'كـشـف حضور يومي'!AY6</f>
        <v>0</v>
      </c>
      <c r="J13" s="94"/>
    </row>
    <row r="14" spans="1:24" ht="21.95" customHeight="1" x14ac:dyDescent="0.2">
      <c r="A14" s="145">
        <f>'كـشـف حضور يومي'!AZ1</f>
        <v>1</v>
      </c>
      <c r="B14" s="146" t="str">
        <f>'كـشـف حضور يومي'!AZ2</f>
        <v>السبت</v>
      </c>
      <c r="C14" s="217"/>
      <c r="D14" s="105">
        <f>'كـشـف حضور يومي'!AZ6</f>
        <v>0</v>
      </c>
      <c r="E14" s="105">
        <f>'كـشـف حضور يومي'!BA6</f>
        <v>0</v>
      </c>
      <c r="F14" s="106">
        <f>H14-مراجع!$B$2</f>
        <v>-0.33333333333333331</v>
      </c>
      <c r="G14" s="106">
        <f>مراجع!$B$2-H14</f>
        <v>0.33333333333333331</v>
      </c>
      <c r="H14" s="105">
        <f t="shared" si="0"/>
        <v>0</v>
      </c>
      <c r="I14" s="107">
        <f>'كـشـف حضور يومي'!BE6</f>
        <v>0</v>
      </c>
      <c r="J14" s="94"/>
    </row>
    <row r="15" spans="1:24" ht="21.95" customHeight="1" x14ac:dyDescent="0.2">
      <c r="A15" s="145">
        <f>'كـشـف حضور يومي'!BF1</f>
        <v>1</v>
      </c>
      <c r="B15" s="146" t="str">
        <f>'كـشـف حضور يومي'!BF2</f>
        <v>السبت</v>
      </c>
      <c r="C15" s="217"/>
      <c r="D15" s="105">
        <f>'كـشـف حضور يومي'!BF6</f>
        <v>0</v>
      </c>
      <c r="E15" s="105">
        <f>'كـشـف حضور يومي'!BG6</f>
        <v>0</v>
      </c>
      <c r="F15" s="106">
        <f>H15-مراجع!$B$2</f>
        <v>-0.33333333333333331</v>
      </c>
      <c r="G15" s="106">
        <f>مراجع!$B$2-H15</f>
        <v>0.33333333333333331</v>
      </c>
      <c r="H15" s="105">
        <f t="shared" si="0"/>
        <v>0</v>
      </c>
      <c r="I15" s="107">
        <f>'كـشـف حضور يومي'!BK6</f>
        <v>0</v>
      </c>
      <c r="J15" s="94"/>
    </row>
    <row r="16" spans="1:24" ht="21.95" customHeight="1" x14ac:dyDescent="0.2">
      <c r="A16" s="145">
        <f>'كـشـف حضور يومي'!BL1</f>
        <v>1</v>
      </c>
      <c r="B16" s="146" t="str">
        <f>'كـشـف حضور يومي'!BL2</f>
        <v>السبت</v>
      </c>
      <c r="C16" s="217"/>
      <c r="D16" s="105">
        <f>'كـشـف حضور يومي'!BL6</f>
        <v>0</v>
      </c>
      <c r="E16" s="105">
        <f>'كـشـف حضور يومي'!BM6</f>
        <v>0</v>
      </c>
      <c r="F16" s="106">
        <f>H16-مراجع!$B$2</f>
        <v>-0.33333333333333331</v>
      </c>
      <c r="G16" s="106">
        <f>مراجع!$B$2-H16</f>
        <v>0.33333333333333331</v>
      </c>
      <c r="H16" s="105">
        <f t="shared" si="0"/>
        <v>0</v>
      </c>
      <c r="I16" s="107">
        <f>'كـشـف حضور يومي'!BQ6</f>
        <v>0</v>
      </c>
      <c r="J16" s="94"/>
    </row>
    <row r="17" spans="1:15" ht="21.95" customHeight="1" x14ac:dyDescent="0.2">
      <c r="A17" s="145">
        <f>'كـشـف حضور يومي'!BR1</f>
        <v>1</v>
      </c>
      <c r="B17" s="146" t="str">
        <f>'كـشـف حضور يومي'!BR2</f>
        <v>السبت</v>
      </c>
      <c r="C17" s="217"/>
      <c r="D17" s="105">
        <f>'كـشـف حضور يومي'!BR6</f>
        <v>0</v>
      </c>
      <c r="E17" s="105">
        <f>'كـشـف حضور يومي'!BS6</f>
        <v>0</v>
      </c>
      <c r="F17" s="106">
        <f>H17-مراجع!$B$2</f>
        <v>-0.33333333333333331</v>
      </c>
      <c r="G17" s="106">
        <f>مراجع!$B$2-H17</f>
        <v>0.33333333333333331</v>
      </c>
      <c r="H17" s="105">
        <f t="shared" si="0"/>
        <v>0</v>
      </c>
      <c r="I17" s="107">
        <f>'كـشـف حضور يومي'!BW6</f>
        <v>0</v>
      </c>
      <c r="J17" s="94"/>
    </row>
    <row r="18" spans="1:15" ht="21.95" customHeight="1" x14ac:dyDescent="0.2">
      <c r="A18" s="145">
        <f>'كـشـف حضور يومي'!BX1</f>
        <v>1</v>
      </c>
      <c r="B18" s="146" t="str">
        <f>'كـشـف حضور يومي'!BX2</f>
        <v>السبت</v>
      </c>
      <c r="C18" s="217"/>
      <c r="D18" s="105">
        <f>'كـشـف حضور يومي'!BX6</f>
        <v>0</v>
      </c>
      <c r="E18" s="105">
        <f>'كـشـف حضور يومي'!BY6</f>
        <v>0</v>
      </c>
      <c r="F18" s="106">
        <f>H18-مراجع!$B$2</f>
        <v>-0.33333333333333331</v>
      </c>
      <c r="G18" s="106">
        <f>مراجع!$B$2-H18</f>
        <v>0.33333333333333331</v>
      </c>
      <c r="H18" s="105">
        <f t="shared" si="0"/>
        <v>0</v>
      </c>
      <c r="I18" s="107">
        <f>'كـشـف حضور يومي'!CC6</f>
        <v>0</v>
      </c>
    </row>
    <row r="19" spans="1:15" ht="21.95" customHeight="1" x14ac:dyDescent="0.2">
      <c r="A19" s="145">
        <f>'كـشـف حضور يومي'!CD1</f>
        <v>1</v>
      </c>
      <c r="B19" s="146" t="str">
        <f>'كـشـف حضور يومي'!CD2</f>
        <v>السبت</v>
      </c>
      <c r="C19" s="217"/>
      <c r="D19" s="105">
        <f>'كـشـف حضور يومي'!CD6</f>
        <v>0</v>
      </c>
      <c r="E19" s="105">
        <f>'كـشـف حضور يومي'!CE6</f>
        <v>0</v>
      </c>
      <c r="F19" s="106">
        <f>H19-مراجع!$B$2</f>
        <v>-0.33333333333333331</v>
      </c>
      <c r="G19" s="106">
        <f>مراجع!$B$2-H19</f>
        <v>0.33333333333333331</v>
      </c>
      <c r="H19" s="105">
        <f t="shared" si="0"/>
        <v>0</v>
      </c>
      <c r="I19" s="107">
        <f>'كـشـف حضور يومي'!CI6</f>
        <v>0</v>
      </c>
    </row>
    <row r="20" spans="1:15" ht="21.95" customHeight="1" x14ac:dyDescent="0.2">
      <c r="A20" s="145">
        <f>'كـشـف حضور يومي'!CJ1</f>
        <v>1</v>
      </c>
      <c r="B20" s="146" t="str">
        <f>'كـشـف حضور يومي'!CJ2</f>
        <v>السبت</v>
      </c>
      <c r="C20" s="217"/>
      <c r="D20" s="105">
        <f>'كـشـف حضور يومي'!CJ6</f>
        <v>0</v>
      </c>
      <c r="E20" s="105">
        <f>'كـشـف حضور يومي'!CK6</f>
        <v>0</v>
      </c>
      <c r="F20" s="106">
        <f>H20-مراجع!$B$2</f>
        <v>-0.33333333333333331</v>
      </c>
      <c r="G20" s="106">
        <f>مراجع!$B$2-H20</f>
        <v>0.33333333333333331</v>
      </c>
      <c r="H20" s="105">
        <f t="shared" si="0"/>
        <v>0</v>
      </c>
      <c r="I20" s="107">
        <f>'كـشـف حضور يومي'!CO6</f>
        <v>0</v>
      </c>
    </row>
    <row r="21" spans="1:15" ht="21.95" customHeight="1" x14ac:dyDescent="0.2">
      <c r="A21" s="145">
        <f>'كـشـف حضور يومي'!CP1</f>
        <v>1</v>
      </c>
      <c r="B21" s="146" t="str">
        <f>'كـشـف حضور يومي'!CP2</f>
        <v>السبت</v>
      </c>
      <c r="C21" s="217"/>
      <c r="D21" s="105">
        <f>'كـشـف حضور يومي'!CP6</f>
        <v>0</v>
      </c>
      <c r="E21" s="105">
        <f>'كـشـف حضور يومي'!CQ6</f>
        <v>0</v>
      </c>
      <c r="F21" s="106">
        <f>H21-مراجع!$B$2</f>
        <v>-0.33333333333333331</v>
      </c>
      <c r="G21" s="106">
        <f>مراجع!$B$2-H21</f>
        <v>0.33333333333333331</v>
      </c>
      <c r="H21" s="105">
        <f t="shared" si="0"/>
        <v>0</v>
      </c>
      <c r="I21" s="107">
        <f>'كـشـف حضور يومي'!CU6</f>
        <v>0</v>
      </c>
    </row>
    <row r="22" spans="1:15" ht="21.95" customHeight="1" x14ac:dyDescent="0.2">
      <c r="A22" s="145">
        <f>'كـشـف حضور يومي'!CV1</f>
        <v>1</v>
      </c>
      <c r="B22" s="146" t="str">
        <f>'كـشـف حضور يومي'!CV2</f>
        <v>السبت</v>
      </c>
      <c r="C22" s="217"/>
      <c r="D22" s="105">
        <f>'كـشـف حضور يومي'!CV6</f>
        <v>0</v>
      </c>
      <c r="E22" s="105">
        <f>'كـشـف حضور يومي'!CW6</f>
        <v>0</v>
      </c>
      <c r="F22" s="106">
        <f>H22-مراجع!$B$2</f>
        <v>-0.33333333333333331</v>
      </c>
      <c r="G22" s="106">
        <f>مراجع!$B$2-H22</f>
        <v>0.33333333333333331</v>
      </c>
      <c r="H22" s="105">
        <f t="shared" si="0"/>
        <v>0</v>
      </c>
      <c r="I22" s="107">
        <f>'كـشـف حضور يومي'!DA6</f>
        <v>0</v>
      </c>
    </row>
    <row r="23" spans="1:15" ht="21.95" customHeight="1" x14ac:dyDescent="0.2">
      <c r="A23" s="145">
        <f>'كـشـف حضور يومي'!DB1</f>
        <v>1</v>
      </c>
      <c r="B23" s="146" t="str">
        <f>'كـشـف حضور يومي'!DB2</f>
        <v>السبت</v>
      </c>
      <c r="C23" s="217"/>
      <c r="D23" s="105">
        <f>'كـشـف حضور يومي'!DB6</f>
        <v>0</v>
      </c>
      <c r="E23" s="105">
        <f>'كـشـف حضور يومي'!DC6</f>
        <v>0</v>
      </c>
      <c r="F23" s="106">
        <f>H23-مراجع!$B$2</f>
        <v>-0.33333333333333331</v>
      </c>
      <c r="G23" s="106">
        <f>مراجع!$B$2-H23</f>
        <v>0.33333333333333331</v>
      </c>
      <c r="H23" s="105">
        <f t="shared" si="0"/>
        <v>0</v>
      </c>
      <c r="I23" s="107">
        <f>'كـشـف حضور يومي'!DG6</f>
        <v>0</v>
      </c>
    </row>
    <row r="24" spans="1:15" ht="21.95" customHeight="1" x14ac:dyDescent="0.2">
      <c r="A24" s="145">
        <f>'كـشـف حضور يومي'!DH1</f>
        <v>1</v>
      </c>
      <c r="B24" s="146" t="str">
        <f>'كـشـف حضور يومي'!DH2</f>
        <v>السبت</v>
      </c>
      <c r="C24" s="217"/>
      <c r="D24" s="105">
        <f>'كـشـف حضور يومي'!DH6</f>
        <v>0</v>
      </c>
      <c r="E24" s="105">
        <f>'كـشـف حضور يومي'!DI6</f>
        <v>0</v>
      </c>
      <c r="F24" s="106">
        <f>H24-مراجع!$B$2</f>
        <v>-0.33333333333333331</v>
      </c>
      <c r="G24" s="106">
        <f>مراجع!$B$2-H24</f>
        <v>0.33333333333333331</v>
      </c>
      <c r="H24" s="105">
        <f t="shared" si="0"/>
        <v>0</v>
      </c>
      <c r="I24" s="107">
        <f>'كـشـف حضور يومي'!DM6</f>
        <v>0</v>
      </c>
    </row>
    <row r="25" spans="1:15" ht="21.95" customHeight="1" x14ac:dyDescent="0.2">
      <c r="A25" s="145">
        <f>'كـشـف حضور يومي'!DN1</f>
        <v>1</v>
      </c>
      <c r="B25" s="146" t="str">
        <f>'كـشـف حضور يومي'!DN2</f>
        <v>السبت</v>
      </c>
      <c r="C25" s="217"/>
      <c r="D25" s="105">
        <f>'كـشـف حضور يومي'!DN6</f>
        <v>0</v>
      </c>
      <c r="E25" s="105">
        <f>'كـشـف حضور يومي'!DO6</f>
        <v>0</v>
      </c>
      <c r="F25" s="106">
        <f>H25-مراجع!$B$2</f>
        <v>-0.33333333333333331</v>
      </c>
      <c r="G25" s="106">
        <f>مراجع!$B$2-H25</f>
        <v>0.33333333333333331</v>
      </c>
      <c r="H25" s="105">
        <f t="shared" si="0"/>
        <v>0</v>
      </c>
      <c r="I25" s="107">
        <f>'كـشـف حضور يومي'!DS6</f>
        <v>0</v>
      </c>
    </row>
    <row r="26" spans="1:15" ht="21.95" customHeight="1" x14ac:dyDescent="0.2">
      <c r="A26" s="145">
        <f>'كـشـف حضور يومي'!DT1</f>
        <v>1</v>
      </c>
      <c r="B26" s="146" t="str">
        <f>'كـشـف حضور يومي'!DT2</f>
        <v>السبت</v>
      </c>
      <c r="C26" s="217"/>
      <c r="D26" s="105">
        <f>'كـشـف حضور يومي'!DT6</f>
        <v>0</v>
      </c>
      <c r="E26" s="105">
        <f>'كـشـف حضور يومي'!DU6</f>
        <v>0</v>
      </c>
      <c r="F26" s="106">
        <f>H26-مراجع!$B$2</f>
        <v>-0.33333333333333331</v>
      </c>
      <c r="G26" s="106">
        <f>مراجع!$B$2-H26</f>
        <v>0.33333333333333331</v>
      </c>
      <c r="H26" s="105">
        <f t="shared" si="0"/>
        <v>0</v>
      </c>
      <c r="I26" s="107">
        <f>'كـشـف حضور يومي'!DY6</f>
        <v>0</v>
      </c>
    </row>
    <row r="27" spans="1:15" ht="21.95" customHeight="1" x14ac:dyDescent="0.2">
      <c r="A27" s="145">
        <f>'كـشـف حضور يومي'!DZ1</f>
        <v>1</v>
      </c>
      <c r="B27" s="146" t="str">
        <f>'كـشـف حضور يومي'!DZ2</f>
        <v>السبت</v>
      </c>
      <c r="C27" s="217"/>
      <c r="D27" s="105">
        <f>'كـشـف حضور يومي'!DZ6</f>
        <v>0</v>
      </c>
      <c r="E27" s="105">
        <f>'كـشـف حضور يومي'!EA6</f>
        <v>0</v>
      </c>
      <c r="F27" s="106">
        <f>H27-مراجع!$B$2</f>
        <v>-0.33333333333333331</v>
      </c>
      <c r="G27" s="106">
        <f>مراجع!$B$2-H27</f>
        <v>0.33333333333333331</v>
      </c>
      <c r="H27" s="105">
        <f t="shared" si="0"/>
        <v>0</v>
      </c>
      <c r="I27" s="107">
        <f>'كـشـف حضور يومي'!EE6</f>
        <v>0</v>
      </c>
    </row>
    <row r="28" spans="1:15" ht="21.95" customHeight="1" x14ac:dyDescent="0.2">
      <c r="A28" s="145">
        <f>'كـشـف حضور يومي'!EF1</f>
        <v>1</v>
      </c>
      <c r="B28" s="146" t="str">
        <f>'كـشـف حضور يومي'!EF2</f>
        <v>السبت</v>
      </c>
      <c r="C28" s="217"/>
      <c r="D28" s="105">
        <f>'كـشـف حضور يومي'!EF6</f>
        <v>0</v>
      </c>
      <c r="E28" s="105">
        <f>'كـشـف حضور يومي'!EG6</f>
        <v>0</v>
      </c>
      <c r="F28" s="106">
        <f>H28-مراجع!$B$2</f>
        <v>-0.33333333333333331</v>
      </c>
      <c r="G28" s="106">
        <f>مراجع!$B$2-H28</f>
        <v>0.33333333333333331</v>
      </c>
      <c r="H28" s="105">
        <f t="shared" si="0"/>
        <v>0</v>
      </c>
      <c r="I28" s="107">
        <f>'كـشـف حضور يومي'!EK6</f>
        <v>0</v>
      </c>
    </row>
    <row r="29" spans="1:15" ht="21.95" customHeight="1" x14ac:dyDescent="0.2">
      <c r="A29" s="145">
        <f>'كـشـف حضور يومي'!EL1</f>
        <v>1</v>
      </c>
      <c r="B29" s="146" t="str">
        <f>'كـشـف حضور يومي'!EL2</f>
        <v>السبت</v>
      </c>
      <c r="C29" s="217"/>
      <c r="D29" s="105">
        <f>'كـشـف حضور يومي'!EL6</f>
        <v>0</v>
      </c>
      <c r="E29" s="105">
        <f>'كـشـف حضور يومي'!EM6</f>
        <v>0</v>
      </c>
      <c r="F29" s="106">
        <f>H29-مراجع!$B$2</f>
        <v>-0.33333333333333331</v>
      </c>
      <c r="G29" s="106">
        <f>مراجع!$B$2-H29</f>
        <v>0.33333333333333331</v>
      </c>
      <c r="H29" s="105">
        <f t="shared" si="0"/>
        <v>0</v>
      </c>
      <c r="I29" s="107">
        <f>'كـشـف حضور يومي'!EQ6</f>
        <v>0</v>
      </c>
    </row>
    <row r="30" spans="1:15" ht="21.95" customHeight="1" x14ac:dyDescent="0.2">
      <c r="A30" s="145">
        <f>'كـشـف حضور يومي'!ER1</f>
        <v>1</v>
      </c>
      <c r="B30" s="146" t="str">
        <f>'كـشـف حضور يومي'!ER2</f>
        <v>السبت</v>
      </c>
      <c r="C30" s="217"/>
      <c r="D30" s="105">
        <f>'كـشـف حضور يومي'!ER6</f>
        <v>0</v>
      </c>
      <c r="E30" s="105">
        <f>'كـشـف حضور يومي'!ES6</f>
        <v>0</v>
      </c>
      <c r="F30" s="106">
        <f>H30-مراجع!$B$2</f>
        <v>-0.33333333333333331</v>
      </c>
      <c r="G30" s="106">
        <f>مراجع!$B$2-H30</f>
        <v>0.33333333333333331</v>
      </c>
      <c r="H30" s="105">
        <f t="shared" si="0"/>
        <v>0</v>
      </c>
      <c r="I30" s="107">
        <f>'كـشـف حضور يومي'!EW6</f>
        <v>0</v>
      </c>
      <c r="O30" s="91"/>
    </row>
    <row r="31" spans="1:15" ht="21.95" customHeight="1" x14ac:dyDescent="0.2">
      <c r="A31" s="145">
        <f>'كـشـف حضور يومي'!EX1</f>
        <v>1</v>
      </c>
      <c r="B31" s="146" t="str">
        <f>'كـشـف حضور يومي'!EX2</f>
        <v>السبت</v>
      </c>
      <c r="C31" s="217"/>
      <c r="D31" s="105">
        <f>'كـشـف حضور يومي'!EX6</f>
        <v>0</v>
      </c>
      <c r="E31" s="105">
        <f>'كـشـف حضور يومي'!EY6</f>
        <v>0</v>
      </c>
      <c r="F31" s="106">
        <f>H31-مراجع!$B$2</f>
        <v>-0.33333333333333331</v>
      </c>
      <c r="G31" s="106">
        <f>مراجع!$B$2-H31</f>
        <v>0.33333333333333331</v>
      </c>
      <c r="H31" s="105">
        <f t="shared" si="0"/>
        <v>0</v>
      </c>
      <c r="I31" s="107">
        <f>'كـشـف حضور يومي'!FC6</f>
        <v>0</v>
      </c>
    </row>
    <row r="32" spans="1:15" ht="21.95" customHeight="1" x14ac:dyDescent="0.2">
      <c r="A32" s="145">
        <f>'كـشـف حضور يومي'!FD1</f>
        <v>1</v>
      </c>
      <c r="B32" s="146" t="str">
        <f>'كـشـف حضور يومي'!FD2</f>
        <v>السبت</v>
      </c>
      <c r="C32" s="217"/>
      <c r="D32" s="105">
        <f>'كـشـف حضور يومي'!FD6</f>
        <v>0</v>
      </c>
      <c r="E32" s="105">
        <f>'كـشـف حضور يومي'!FE6</f>
        <v>0</v>
      </c>
      <c r="F32" s="106">
        <f>H32-مراجع!$B$2</f>
        <v>-0.33333333333333331</v>
      </c>
      <c r="G32" s="106">
        <f>مراجع!$B$2-H32</f>
        <v>0.33333333333333331</v>
      </c>
      <c r="H32" s="105">
        <f t="shared" si="0"/>
        <v>0</v>
      </c>
      <c r="I32" s="107">
        <f>'كـشـف حضور يومي'!FI6</f>
        <v>0</v>
      </c>
    </row>
    <row r="33" spans="1:9" ht="21.95" customHeight="1" x14ac:dyDescent="0.2">
      <c r="A33" s="145">
        <f>'كـشـف حضور يومي'!FJ1</f>
        <v>1</v>
      </c>
      <c r="B33" s="146" t="str">
        <f>'كـشـف حضور يومي'!FJ2</f>
        <v>السبت</v>
      </c>
      <c r="C33" s="217"/>
      <c r="D33" s="105">
        <f>'كـشـف حضور يومي'!FJ6</f>
        <v>0</v>
      </c>
      <c r="E33" s="105">
        <f>'كـشـف حضور يومي'!FK6</f>
        <v>0</v>
      </c>
      <c r="F33" s="106">
        <f>H33-مراجع!$B$2</f>
        <v>-0.33333333333333331</v>
      </c>
      <c r="G33" s="106">
        <f>مراجع!$B$2-H33</f>
        <v>0.33333333333333331</v>
      </c>
      <c r="H33" s="105">
        <f t="shared" si="0"/>
        <v>0</v>
      </c>
      <c r="I33" s="107">
        <f>'كـشـف حضور يومي'!FO6</f>
        <v>0</v>
      </c>
    </row>
    <row r="34" spans="1:9" ht="21.95" customHeight="1" x14ac:dyDescent="0.2">
      <c r="A34" s="145">
        <f>'كـشـف حضور يومي'!FP1</f>
        <v>1</v>
      </c>
      <c r="B34" s="146" t="str">
        <f>'كـشـف حضور يومي'!FP2</f>
        <v>السبت</v>
      </c>
      <c r="C34" s="217"/>
      <c r="D34" s="105">
        <f>'كـشـف حضور يومي'!FP6</f>
        <v>0</v>
      </c>
      <c r="E34" s="105">
        <f>'كـشـف حضور يومي'!FQ6</f>
        <v>0</v>
      </c>
      <c r="F34" s="106">
        <f>H34-مراجع!$B$2</f>
        <v>-0.33333333333333331</v>
      </c>
      <c r="G34" s="106">
        <f>مراجع!$B$2-H34</f>
        <v>0.33333333333333331</v>
      </c>
      <c r="H34" s="105">
        <f t="shared" si="0"/>
        <v>0</v>
      </c>
      <c r="I34" s="107">
        <f>'كـشـف حضور يومي'!FU6</f>
        <v>0</v>
      </c>
    </row>
    <row r="35" spans="1:9" ht="21.95" customHeight="1" x14ac:dyDescent="0.2">
      <c r="A35" s="145">
        <f>'كـشـف حضور يومي'!FV1</f>
        <v>1</v>
      </c>
      <c r="B35" s="146" t="str">
        <f>'كـشـف حضور يومي'!FV2</f>
        <v>السبت</v>
      </c>
      <c r="C35" s="217"/>
      <c r="D35" s="105">
        <f>'كـشـف حضور يومي'!FV6</f>
        <v>0</v>
      </c>
      <c r="E35" s="105">
        <f>'كـشـف حضور يومي'!FW6</f>
        <v>0</v>
      </c>
      <c r="F35" s="106">
        <f>H35-مراجع!$B$2</f>
        <v>-0.33333333333333331</v>
      </c>
      <c r="G35" s="106">
        <f>مراجع!$B$2-H35</f>
        <v>0.33333333333333331</v>
      </c>
      <c r="H35" s="105">
        <f t="shared" si="0"/>
        <v>0</v>
      </c>
      <c r="I35" s="107">
        <f>'كـشـف حضور يومي'!GA6</f>
        <v>0</v>
      </c>
    </row>
    <row r="36" spans="1:9" ht="21.95" customHeight="1" x14ac:dyDescent="0.2">
      <c r="A36" s="145">
        <f>'كـشـف حضور يومي'!GB1</f>
        <v>1</v>
      </c>
      <c r="B36" s="146" t="str">
        <f>'كـشـف حضور يومي'!GB2</f>
        <v>السبت</v>
      </c>
      <c r="C36" s="217"/>
      <c r="D36" s="105">
        <f>'كـشـف حضور يومي'!GB6</f>
        <v>0</v>
      </c>
      <c r="E36" s="105">
        <f>'كـشـف حضور يومي'!GC6</f>
        <v>0</v>
      </c>
      <c r="F36" s="106">
        <f>H36-مراجع!$B$2</f>
        <v>-0.33333333333333331</v>
      </c>
      <c r="G36" s="106">
        <f>مراجع!$B$2-H36</f>
        <v>0.33333333333333331</v>
      </c>
      <c r="H36" s="105">
        <f t="shared" si="0"/>
        <v>0</v>
      </c>
      <c r="I36" s="107">
        <f>'كـشـف حضور يومي'!GG6</f>
        <v>0</v>
      </c>
    </row>
    <row r="37" spans="1:9" ht="21.95" customHeight="1" x14ac:dyDescent="0.2">
      <c r="A37" s="216" t="s">
        <v>64</v>
      </c>
      <c r="B37" s="216"/>
      <c r="C37" s="216"/>
      <c r="D37" s="216"/>
      <c r="E37" s="216"/>
      <c r="F37" s="220">
        <f>SUM(H6:H36)</f>
        <v>0</v>
      </c>
      <c r="G37" s="220"/>
      <c r="H37" s="220"/>
      <c r="I37" s="220"/>
    </row>
    <row r="38" spans="1:9" ht="21.95" customHeight="1" x14ac:dyDescent="0.2">
      <c r="A38" s="215" t="s">
        <v>59</v>
      </c>
      <c r="B38" s="215"/>
      <c r="C38" s="215"/>
      <c r="D38" s="215"/>
      <c r="E38" s="215"/>
      <c r="F38" s="221">
        <f>F37*I2*24</f>
        <v>0</v>
      </c>
      <c r="G38" s="221"/>
      <c r="H38" s="221"/>
      <c r="I38" s="221"/>
    </row>
  </sheetData>
  <sheetProtection algorithmName="SHA-512" hashValue="ggwASBSV+AdEBsr64+LQ5PnUlA4pfNwMRlOoaEDKnsv4oeHuVQ3EEzR0Xe4knk1EbU1F0R6bUWpi8tjIiQSuog==" saltValue="GmVMDhwUjeWsrvlKRI4gDg==" spinCount="100000" sheet="1" objects="1" scenarios="1"/>
  <mergeCells count="14">
    <mergeCell ref="A38:E38"/>
    <mergeCell ref="F38:I38"/>
    <mergeCell ref="A1:B1"/>
    <mergeCell ref="A3:I3"/>
    <mergeCell ref="A4:B4"/>
    <mergeCell ref="H4:I4"/>
    <mergeCell ref="C4:E4"/>
    <mergeCell ref="A2:B2"/>
    <mergeCell ref="D1:F2"/>
    <mergeCell ref="G1:H1"/>
    <mergeCell ref="G2:H2"/>
    <mergeCell ref="A37:E37"/>
    <mergeCell ref="F37:I37"/>
    <mergeCell ref="C5:C36"/>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A6508BF-B7BB-4C00-B2EE-44F737B6060D}">
          <x14:formula1>
            <xm:f>مراجع!$B$4:$B$15</xm:f>
          </x14:formula1>
          <xm:sqref>C4:E4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38"/>
  <sheetViews>
    <sheetView rightToLeft="1" zoomScaleNormal="100" workbookViewId="0">
      <pane ySplit="5" topLeftCell="A6" activePane="bottomLeft" state="frozen"/>
      <selection pane="bottomLeft" activeCell="G1" sqref="G1:I2"/>
    </sheetView>
  </sheetViews>
  <sheetFormatPr defaultColWidth="10.75" defaultRowHeight="21.95" customHeight="1" x14ac:dyDescent="0.2"/>
  <cols>
    <col min="1" max="9" width="12.75" style="86" customWidth="1"/>
    <col min="10" max="10" width="79.625" style="86" customWidth="1"/>
    <col min="11" max="11" width="4.625" style="85" bestFit="1" customWidth="1"/>
    <col min="12" max="12" width="9.125" style="85" bestFit="1" customWidth="1"/>
    <col min="13" max="13" width="6.375" style="85" bestFit="1" customWidth="1"/>
    <col min="14" max="14" width="10.125" style="85" bestFit="1" customWidth="1"/>
    <col min="15" max="15" width="10" style="85" bestFit="1" customWidth="1"/>
    <col min="16" max="16" width="9.125" style="85" bestFit="1" customWidth="1"/>
    <col min="17" max="17" width="9.75" style="85" bestFit="1" customWidth="1"/>
    <col min="18" max="18" width="9" style="85" bestFit="1" customWidth="1"/>
    <col min="19" max="20" width="6.625" style="85" bestFit="1" customWidth="1"/>
    <col min="21" max="21" width="10.125" style="85" bestFit="1" customWidth="1"/>
    <col min="22" max="16384" width="10.75" style="85"/>
  </cols>
  <sheetData>
    <row r="1" spans="1:24" ht="21.95" customHeight="1" x14ac:dyDescent="0.2">
      <c r="A1" s="208" t="s">
        <v>43</v>
      </c>
      <c r="B1" s="208"/>
      <c r="C1" s="96" t="s">
        <v>82</v>
      </c>
      <c r="D1" s="209"/>
      <c r="E1" s="209"/>
      <c r="F1" s="209"/>
      <c r="G1" s="208" t="s">
        <v>21</v>
      </c>
      <c r="H1" s="208"/>
      <c r="I1" s="97" t="s">
        <v>82</v>
      </c>
      <c r="J1"/>
      <c r="K1"/>
      <c r="N1" s="89"/>
      <c r="O1" s="89"/>
      <c r="P1" s="89"/>
      <c r="Q1" s="89"/>
      <c r="R1" s="89"/>
      <c r="S1" s="89"/>
      <c r="T1" s="89"/>
      <c r="U1" s="89"/>
      <c r="V1" s="89"/>
      <c r="W1" s="89"/>
      <c r="X1" s="89"/>
    </row>
    <row r="2" spans="1:24" ht="21.95" customHeight="1" x14ac:dyDescent="0.2">
      <c r="A2" s="207" t="s">
        <v>52</v>
      </c>
      <c r="B2" s="207"/>
      <c r="C2" s="98" t="s">
        <v>82</v>
      </c>
      <c r="D2" s="209"/>
      <c r="E2" s="209"/>
      <c r="F2" s="209"/>
      <c r="G2" s="207" t="s">
        <v>53</v>
      </c>
      <c r="H2" s="207"/>
      <c r="I2" s="99">
        <v>15</v>
      </c>
      <c r="J2"/>
      <c r="K2"/>
      <c r="L2" s="118"/>
      <c r="O2" s="87"/>
      <c r="P2" s="88"/>
      <c r="Q2" s="88"/>
      <c r="R2" s="88"/>
      <c r="S2" s="88"/>
      <c r="T2" s="88"/>
      <c r="U2" s="88"/>
      <c r="V2" s="88"/>
      <c r="W2" s="88"/>
      <c r="X2" s="88"/>
    </row>
    <row r="3" spans="1:24" ht="21.95" customHeight="1" x14ac:dyDescent="0.2">
      <c r="A3" s="223" t="s">
        <v>32</v>
      </c>
      <c r="B3" s="223"/>
      <c r="C3" s="223"/>
      <c r="D3" s="223"/>
      <c r="E3" s="223"/>
      <c r="F3" s="223"/>
      <c r="G3" s="223"/>
      <c r="H3" s="223"/>
      <c r="I3" s="223"/>
      <c r="J3" s="92"/>
      <c r="K3" s="86"/>
      <c r="L3" s="86"/>
      <c r="M3" s="86"/>
      <c r="N3" s="86"/>
      <c r="O3" s="86"/>
      <c r="P3" s="86"/>
      <c r="Q3" s="90"/>
      <c r="R3" s="90"/>
      <c r="S3" s="90"/>
      <c r="T3" s="90"/>
    </row>
    <row r="4" spans="1:24" ht="21.95" customHeight="1" x14ac:dyDescent="0.2">
      <c r="A4" s="213" t="s">
        <v>4</v>
      </c>
      <c r="B4" s="213"/>
      <c r="C4" s="213" t="s">
        <v>42</v>
      </c>
      <c r="D4" s="213"/>
      <c r="E4" s="213"/>
      <c r="F4" s="144" t="s">
        <v>54</v>
      </c>
      <c r="G4" s="144"/>
      <c r="H4" s="214" t="s">
        <v>82</v>
      </c>
      <c r="I4" s="214"/>
      <c r="J4" s="92"/>
      <c r="K4" s="86"/>
      <c r="L4" s="86"/>
      <c r="M4" s="86"/>
      <c r="N4" s="86"/>
      <c r="O4" s="86"/>
      <c r="P4" s="86"/>
      <c r="Q4" s="90"/>
      <c r="R4" s="90"/>
      <c r="S4" s="90"/>
      <c r="T4" s="90"/>
    </row>
    <row r="5" spans="1:24" ht="21.95" customHeight="1" x14ac:dyDescent="0.2">
      <c r="A5" s="100" t="s">
        <v>56</v>
      </c>
      <c r="B5" s="100" t="s">
        <v>55</v>
      </c>
      <c r="C5" s="217"/>
      <c r="D5" s="102" t="s">
        <v>23</v>
      </c>
      <c r="E5" s="102" t="s">
        <v>24</v>
      </c>
      <c r="F5" s="103" t="s">
        <v>57</v>
      </c>
      <c r="G5" s="104" t="s">
        <v>58</v>
      </c>
      <c r="H5" s="102" t="s">
        <v>17</v>
      </c>
      <c r="I5" s="102" t="s">
        <v>25</v>
      </c>
      <c r="J5" s="93"/>
    </row>
    <row r="6" spans="1:24" ht="21.95" customHeight="1" x14ac:dyDescent="0.2">
      <c r="A6" s="145">
        <f>'كـشـف حضور يومي'!D1</f>
        <v>1</v>
      </c>
      <c r="B6" s="146" t="str">
        <f>'كـشـف حضور يومي'!D2</f>
        <v>السبت</v>
      </c>
      <c r="C6" s="217"/>
      <c r="D6" s="105">
        <f>'كـشـف حضور يومي'!D7</f>
        <v>0</v>
      </c>
      <c r="E6" s="105">
        <f>'كـشـف حضور يومي'!E7</f>
        <v>0</v>
      </c>
      <c r="F6" s="106">
        <f>H6-مراجع!$B$2</f>
        <v>-0.33333333333333331</v>
      </c>
      <c r="G6" s="106">
        <f>مراجع!$B$2-H6</f>
        <v>0.33333333333333331</v>
      </c>
      <c r="H6" s="105">
        <f>SUM(E6-D6)</f>
        <v>0</v>
      </c>
      <c r="I6" s="107">
        <f>'كـشـف حضور يومي'!I7</f>
        <v>0</v>
      </c>
      <c r="J6" s="94"/>
    </row>
    <row r="7" spans="1:24" ht="21.95" customHeight="1" x14ac:dyDescent="0.2">
      <c r="A7" s="145">
        <f>'كـشـف حضور يومي'!J1</f>
        <v>1</v>
      </c>
      <c r="B7" s="146" t="str">
        <f>'كـشـف حضور يومي'!J2</f>
        <v>السبت</v>
      </c>
      <c r="C7" s="217"/>
      <c r="D7" s="105">
        <f>'كـشـف حضور يومي'!J7</f>
        <v>0</v>
      </c>
      <c r="E7" s="105">
        <f>'كـشـف حضور يومي'!K7</f>
        <v>0</v>
      </c>
      <c r="F7" s="106">
        <f>H7-مراجع!$B$2</f>
        <v>-0.33333333333333331</v>
      </c>
      <c r="G7" s="106">
        <f>مراجع!$B$2-H7</f>
        <v>0.33333333333333331</v>
      </c>
      <c r="H7" s="105">
        <f>SUM(E7-D7)</f>
        <v>0</v>
      </c>
      <c r="I7" s="107">
        <f>'كـشـف حضور يومي'!O7</f>
        <v>0</v>
      </c>
      <c r="J7" s="94"/>
    </row>
    <row r="8" spans="1:24" ht="21.95" customHeight="1" x14ac:dyDescent="0.2">
      <c r="A8" s="145">
        <f>'كـشـف حضور يومي'!P1</f>
        <v>1</v>
      </c>
      <c r="B8" s="146" t="str">
        <f>'كـشـف حضور يومي'!P2</f>
        <v>السبت</v>
      </c>
      <c r="C8" s="217"/>
      <c r="D8" s="105">
        <f>'كـشـف حضور يومي'!P7</f>
        <v>0</v>
      </c>
      <c r="E8" s="105">
        <f>'كـشـف حضور يومي'!Q7</f>
        <v>0</v>
      </c>
      <c r="F8" s="106">
        <f>H8-مراجع!$B$2</f>
        <v>-0.33333333333333331</v>
      </c>
      <c r="G8" s="106">
        <f>مراجع!$B$2-H8</f>
        <v>0.33333333333333331</v>
      </c>
      <c r="H8" s="105">
        <f t="shared" ref="H8:H36" si="0">SUM(E8-D8)</f>
        <v>0</v>
      </c>
      <c r="I8" s="107">
        <f>'كـشـف حضور يومي'!U7</f>
        <v>0</v>
      </c>
      <c r="J8" s="94"/>
    </row>
    <row r="9" spans="1:24" ht="21.95" customHeight="1" x14ac:dyDescent="0.2">
      <c r="A9" s="145">
        <f>'كـشـف حضور يومي'!V1</f>
        <v>1</v>
      </c>
      <c r="B9" s="147" t="str">
        <f>'كـشـف حضور يومي'!V2</f>
        <v>السبت</v>
      </c>
      <c r="C9" s="217"/>
      <c r="D9" s="105">
        <f>'كـشـف حضور يومي'!V7</f>
        <v>0</v>
      </c>
      <c r="E9" s="105">
        <f>'كـشـف حضور يومي'!W7</f>
        <v>0</v>
      </c>
      <c r="F9" s="106">
        <f>H9-مراجع!$B$2</f>
        <v>-0.33333333333333331</v>
      </c>
      <c r="G9" s="106">
        <f>مراجع!$B$2-H9</f>
        <v>0.33333333333333331</v>
      </c>
      <c r="H9" s="105">
        <f t="shared" si="0"/>
        <v>0</v>
      </c>
      <c r="I9" s="107">
        <f>'كـشـف حضور يومي'!AA7</f>
        <v>0</v>
      </c>
      <c r="J9" s="94"/>
    </row>
    <row r="10" spans="1:24" ht="21.95" customHeight="1" x14ac:dyDescent="0.2">
      <c r="A10" s="145">
        <f>'كـشـف حضور يومي'!AB1</f>
        <v>1</v>
      </c>
      <c r="B10" s="146" t="str">
        <f>'كـشـف حضور يومي'!AB2</f>
        <v>السبت</v>
      </c>
      <c r="C10" s="217"/>
      <c r="D10" s="105">
        <f>'كـشـف حضور يومي'!AB7</f>
        <v>0</v>
      </c>
      <c r="E10" s="105">
        <f>'كـشـف حضور يومي'!AC7</f>
        <v>0</v>
      </c>
      <c r="F10" s="106">
        <f>H10-مراجع!$B$2</f>
        <v>-0.33333333333333331</v>
      </c>
      <c r="G10" s="106">
        <f>مراجع!$B$2-H10</f>
        <v>0.33333333333333331</v>
      </c>
      <c r="H10" s="105">
        <f t="shared" si="0"/>
        <v>0</v>
      </c>
      <c r="I10" s="107">
        <f>'كـشـف حضور يومي'!AG7</f>
        <v>0</v>
      </c>
      <c r="J10" s="94"/>
    </row>
    <row r="11" spans="1:24" ht="21.95" customHeight="1" x14ac:dyDescent="0.2">
      <c r="A11" s="145">
        <f>'كـشـف حضور يومي'!AH1</f>
        <v>1</v>
      </c>
      <c r="B11" s="146" t="str">
        <f>'كـشـف حضور يومي'!AH2</f>
        <v>السبت</v>
      </c>
      <c r="C11" s="217"/>
      <c r="D11" s="105">
        <f>'كـشـف حضور يومي'!AH7</f>
        <v>0</v>
      </c>
      <c r="E11" s="105">
        <f>'كـشـف حضور يومي'!AI7</f>
        <v>0</v>
      </c>
      <c r="F11" s="106">
        <f>H11-مراجع!$B$2</f>
        <v>-0.33333333333333331</v>
      </c>
      <c r="G11" s="106">
        <f>مراجع!$B$2-H11</f>
        <v>0.33333333333333331</v>
      </c>
      <c r="H11" s="105">
        <f t="shared" si="0"/>
        <v>0</v>
      </c>
      <c r="I11" s="107">
        <f>'كـشـف حضور يومي'!AM7</f>
        <v>0</v>
      </c>
      <c r="J11" s="94"/>
    </row>
    <row r="12" spans="1:24" ht="21.95" customHeight="1" x14ac:dyDescent="0.2">
      <c r="A12" s="145">
        <f>'كـشـف حضور يومي'!AN1</f>
        <v>1</v>
      </c>
      <c r="B12" s="146" t="str">
        <f>'كـشـف حضور يومي'!AN2</f>
        <v>السبت</v>
      </c>
      <c r="C12" s="217"/>
      <c r="D12" s="105">
        <f>'كـشـف حضور يومي'!AN7</f>
        <v>0</v>
      </c>
      <c r="E12" s="105">
        <f>'كـشـف حضور يومي'!AO7</f>
        <v>0</v>
      </c>
      <c r="F12" s="106">
        <f>H12-مراجع!$B$2</f>
        <v>-0.33333333333333331</v>
      </c>
      <c r="G12" s="106">
        <f>مراجع!$B$2-H12</f>
        <v>0.33333333333333331</v>
      </c>
      <c r="H12" s="105">
        <f t="shared" si="0"/>
        <v>0</v>
      </c>
      <c r="I12" s="107">
        <f>'كـشـف حضور يومي'!AS7</f>
        <v>0</v>
      </c>
      <c r="J12" s="94"/>
    </row>
    <row r="13" spans="1:24" ht="21.95" customHeight="1" x14ac:dyDescent="0.2">
      <c r="A13" s="145">
        <f>'كـشـف حضور يومي'!AT1</f>
        <v>1</v>
      </c>
      <c r="B13" s="146" t="str">
        <f>'كـشـف حضور يومي'!AT2</f>
        <v>السبت</v>
      </c>
      <c r="C13" s="217"/>
      <c r="D13" s="105">
        <f>'كـشـف حضور يومي'!AT7</f>
        <v>0</v>
      </c>
      <c r="E13" s="105">
        <f>'كـشـف حضور يومي'!AU7</f>
        <v>0</v>
      </c>
      <c r="F13" s="106">
        <f>H13-مراجع!$B$2</f>
        <v>-0.33333333333333331</v>
      </c>
      <c r="G13" s="106">
        <f>مراجع!$B$2-H13</f>
        <v>0.33333333333333331</v>
      </c>
      <c r="H13" s="105">
        <f t="shared" si="0"/>
        <v>0</v>
      </c>
      <c r="I13" s="107">
        <f>'كـشـف حضور يومي'!AY7</f>
        <v>0</v>
      </c>
      <c r="J13" s="94"/>
    </row>
    <row r="14" spans="1:24" ht="21.95" customHeight="1" x14ac:dyDescent="0.2">
      <c r="A14" s="145">
        <f>'كـشـف حضور يومي'!AZ1</f>
        <v>1</v>
      </c>
      <c r="B14" s="146" t="str">
        <f>'كـشـف حضور يومي'!AZ2</f>
        <v>السبت</v>
      </c>
      <c r="C14" s="217"/>
      <c r="D14" s="105">
        <f>'كـشـف حضور يومي'!AZ7</f>
        <v>0</v>
      </c>
      <c r="E14" s="105">
        <f>'كـشـف حضور يومي'!BA7</f>
        <v>0</v>
      </c>
      <c r="F14" s="106">
        <f>H14-مراجع!$B$2</f>
        <v>-0.33333333333333331</v>
      </c>
      <c r="G14" s="106">
        <f>مراجع!$B$2-H14</f>
        <v>0.33333333333333331</v>
      </c>
      <c r="H14" s="105">
        <f t="shared" si="0"/>
        <v>0</v>
      </c>
      <c r="I14" s="107">
        <f>'كـشـف حضور يومي'!BE7</f>
        <v>0</v>
      </c>
      <c r="J14" s="94"/>
    </row>
    <row r="15" spans="1:24" ht="21.95" customHeight="1" x14ac:dyDescent="0.2">
      <c r="A15" s="145">
        <f>'كـشـف حضور يومي'!BF1</f>
        <v>1</v>
      </c>
      <c r="B15" s="146" t="str">
        <f>'كـشـف حضور يومي'!BF2</f>
        <v>السبت</v>
      </c>
      <c r="C15" s="217"/>
      <c r="D15" s="105">
        <f>'كـشـف حضور يومي'!BF7</f>
        <v>0</v>
      </c>
      <c r="E15" s="105">
        <f>'كـشـف حضور يومي'!BG7</f>
        <v>0</v>
      </c>
      <c r="F15" s="106">
        <f>H15-مراجع!$B$2</f>
        <v>-0.33333333333333331</v>
      </c>
      <c r="G15" s="106">
        <f>مراجع!$B$2-H15</f>
        <v>0.33333333333333331</v>
      </c>
      <c r="H15" s="105">
        <f t="shared" si="0"/>
        <v>0</v>
      </c>
      <c r="I15" s="107">
        <f>'كـشـف حضور يومي'!BK7</f>
        <v>0</v>
      </c>
      <c r="J15" s="94"/>
    </row>
    <row r="16" spans="1:24" ht="21.95" customHeight="1" x14ac:dyDescent="0.2">
      <c r="A16" s="145">
        <f>'كـشـف حضور يومي'!BL1</f>
        <v>1</v>
      </c>
      <c r="B16" s="146" t="str">
        <f>'كـشـف حضور يومي'!BL2</f>
        <v>السبت</v>
      </c>
      <c r="C16" s="217"/>
      <c r="D16" s="105">
        <f>'كـشـف حضور يومي'!BL7</f>
        <v>0</v>
      </c>
      <c r="E16" s="105">
        <f>'كـشـف حضور يومي'!BM7</f>
        <v>0</v>
      </c>
      <c r="F16" s="106">
        <f>H16-مراجع!$B$2</f>
        <v>-0.33333333333333331</v>
      </c>
      <c r="G16" s="106">
        <f>مراجع!$B$2-H16</f>
        <v>0.33333333333333331</v>
      </c>
      <c r="H16" s="105">
        <f t="shared" si="0"/>
        <v>0</v>
      </c>
      <c r="I16" s="107">
        <f>'كـشـف حضور يومي'!BQ7</f>
        <v>0</v>
      </c>
      <c r="J16" s="94"/>
    </row>
    <row r="17" spans="1:15" ht="21.95" customHeight="1" x14ac:dyDescent="0.2">
      <c r="A17" s="145">
        <f>'كـشـف حضور يومي'!BR1</f>
        <v>1</v>
      </c>
      <c r="B17" s="146" t="str">
        <f>'كـشـف حضور يومي'!BR2</f>
        <v>السبت</v>
      </c>
      <c r="C17" s="217"/>
      <c r="D17" s="105">
        <f>'كـشـف حضور يومي'!BR7</f>
        <v>0</v>
      </c>
      <c r="E17" s="105">
        <f>'كـشـف حضور يومي'!BS7</f>
        <v>0</v>
      </c>
      <c r="F17" s="106">
        <f>H17-مراجع!$B$2</f>
        <v>-0.33333333333333331</v>
      </c>
      <c r="G17" s="106">
        <f>مراجع!$B$2-H17</f>
        <v>0.33333333333333331</v>
      </c>
      <c r="H17" s="105">
        <f t="shared" si="0"/>
        <v>0</v>
      </c>
      <c r="I17" s="107">
        <f>'كـشـف حضور يومي'!BW7</f>
        <v>0</v>
      </c>
      <c r="J17" s="94"/>
    </row>
    <row r="18" spans="1:15" ht="21.95" customHeight="1" x14ac:dyDescent="0.2">
      <c r="A18" s="145">
        <f>'كـشـف حضور يومي'!BX1</f>
        <v>1</v>
      </c>
      <c r="B18" s="146" t="str">
        <f>'كـشـف حضور يومي'!BX2</f>
        <v>السبت</v>
      </c>
      <c r="C18" s="217"/>
      <c r="D18" s="105">
        <f>'كـشـف حضور يومي'!BX7</f>
        <v>0</v>
      </c>
      <c r="E18" s="105">
        <f>'كـشـف حضور يومي'!BY7</f>
        <v>0</v>
      </c>
      <c r="F18" s="106">
        <f>H18-مراجع!$B$2</f>
        <v>-0.33333333333333331</v>
      </c>
      <c r="G18" s="106">
        <f>مراجع!$B$2-H18</f>
        <v>0.33333333333333331</v>
      </c>
      <c r="H18" s="105">
        <f t="shared" si="0"/>
        <v>0</v>
      </c>
      <c r="I18" s="107">
        <f>'كـشـف حضور يومي'!CC7</f>
        <v>0</v>
      </c>
    </row>
    <row r="19" spans="1:15" ht="21.95" customHeight="1" x14ac:dyDescent="0.2">
      <c r="A19" s="145">
        <f>'كـشـف حضور يومي'!CD1</f>
        <v>1</v>
      </c>
      <c r="B19" s="146" t="str">
        <f>'كـشـف حضور يومي'!CD2</f>
        <v>السبت</v>
      </c>
      <c r="C19" s="217"/>
      <c r="D19" s="105">
        <f>'كـشـف حضور يومي'!CD7</f>
        <v>0</v>
      </c>
      <c r="E19" s="105">
        <f>'كـشـف حضور يومي'!CE7</f>
        <v>0</v>
      </c>
      <c r="F19" s="106">
        <f>H19-مراجع!$B$2</f>
        <v>-0.33333333333333331</v>
      </c>
      <c r="G19" s="106">
        <f>مراجع!$B$2-H19</f>
        <v>0.33333333333333331</v>
      </c>
      <c r="H19" s="105">
        <f t="shared" si="0"/>
        <v>0</v>
      </c>
      <c r="I19" s="107">
        <f>'كـشـف حضور يومي'!CI7</f>
        <v>0</v>
      </c>
    </row>
    <row r="20" spans="1:15" ht="21.95" customHeight="1" x14ac:dyDescent="0.2">
      <c r="A20" s="145">
        <f>'كـشـف حضور يومي'!CJ1</f>
        <v>1</v>
      </c>
      <c r="B20" s="146" t="str">
        <f>'كـشـف حضور يومي'!CJ2</f>
        <v>السبت</v>
      </c>
      <c r="C20" s="217"/>
      <c r="D20" s="105">
        <f>'كـشـف حضور يومي'!CJ7</f>
        <v>0</v>
      </c>
      <c r="E20" s="105">
        <f>'كـشـف حضور يومي'!CK7</f>
        <v>0</v>
      </c>
      <c r="F20" s="106">
        <f>H20-مراجع!$B$2</f>
        <v>-0.33333333333333331</v>
      </c>
      <c r="G20" s="106">
        <f>مراجع!$B$2-H20</f>
        <v>0.33333333333333331</v>
      </c>
      <c r="H20" s="105">
        <f t="shared" si="0"/>
        <v>0</v>
      </c>
      <c r="I20" s="107">
        <f>'كـشـف حضور يومي'!CO7</f>
        <v>0</v>
      </c>
    </row>
    <row r="21" spans="1:15" ht="21.95" customHeight="1" x14ac:dyDescent="0.2">
      <c r="A21" s="145">
        <f>'كـشـف حضور يومي'!CP1</f>
        <v>1</v>
      </c>
      <c r="B21" s="146" t="str">
        <f>'كـشـف حضور يومي'!CP2</f>
        <v>السبت</v>
      </c>
      <c r="C21" s="217"/>
      <c r="D21" s="105">
        <f>'كـشـف حضور يومي'!CP7</f>
        <v>0</v>
      </c>
      <c r="E21" s="105">
        <f>'كـشـف حضور يومي'!CQ7</f>
        <v>0</v>
      </c>
      <c r="F21" s="106">
        <f>H21-مراجع!$B$2</f>
        <v>-0.33333333333333331</v>
      </c>
      <c r="G21" s="106">
        <f>مراجع!$B$2-H21</f>
        <v>0.33333333333333331</v>
      </c>
      <c r="H21" s="105">
        <f t="shared" si="0"/>
        <v>0</v>
      </c>
      <c r="I21" s="107">
        <f>'كـشـف حضور يومي'!CU7</f>
        <v>0</v>
      </c>
    </row>
    <row r="22" spans="1:15" ht="21.95" customHeight="1" x14ac:dyDescent="0.2">
      <c r="A22" s="145">
        <f>'كـشـف حضور يومي'!CV1</f>
        <v>1</v>
      </c>
      <c r="B22" s="146" t="str">
        <f>'كـشـف حضور يومي'!CV2</f>
        <v>السبت</v>
      </c>
      <c r="C22" s="217"/>
      <c r="D22" s="105">
        <f>'كـشـف حضور يومي'!CV7</f>
        <v>0</v>
      </c>
      <c r="E22" s="105">
        <f>'كـشـف حضور يومي'!CW7</f>
        <v>0</v>
      </c>
      <c r="F22" s="106">
        <f>H22-مراجع!$B$2</f>
        <v>-0.33333333333333331</v>
      </c>
      <c r="G22" s="106">
        <f>مراجع!$B$2-H22</f>
        <v>0.33333333333333331</v>
      </c>
      <c r="H22" s="105">
        <f t="shared" si="0"/>
        <v>0</v>
      </c>
      <c r="I22" s="107">
        <f>'كـشـف حضور يومي'!DA7</f>
        <v>0</v>
      </c>
    </row>
    <row r="23" spans="1:15" ht="21.95" customHeight="1" x14ac:dyDescent="0.2">
      <c r="A23" s="145">
        <f>'كـشـف حضور يومي'!DB1</f>
        <v>1</v>
      </c>
      <c r="B23" s="146" t="str">
        <f>'كـشـف حضور يومي'!DB2</f>
        <v>السبت</v>
      </c>
      <c r="C23" s="217"/>
      <c r="D23" s="105">
        <f>'كـشـف حضور يومي'!DB7</f>
        <v>0</v>
      </c>
      <c r="E23" s="105">
        <f>'كـشـف حضور يومي'!DC7</f>
        <v>0</v>
      </c>
      <c r="F23" s="106">
        <f>H23-مراجع!$B$2</f>
        <v>-0.33333333333333331</v>
      </c>
      <c r="G23" s="106">
        <f>مراجع!$B$2-H23</f>
        <v>0.33333333333333331</v>
      </c>
      <c r="H23" s="105">
        <f t="shared" si="0"/>
        <v>0</v>
      </c>
      <c r="I23" s="107">
        <f>'كـشـف حضور يومي'!DG7</f>
        <v>0</v>
      </c>
    </row>
    <row r="24" spans="1:15" ht="21.95" customHeight="1" x14ac:dyDescent="0.2">
      <c r="A24" s="145">
        <f>'كـشـف حضور يومي'!DH1</f>
        <v>1</v>
      </c>
      <c r="B24" s="146" t="str">
        <f>'كـشـف حضور يومي'!DH2</f>
        <v>السبت</v>
      </c>
      <c r="C24" s="217"/>
      <c r="D24" s="105">
        <f>'كـشـف حضور يومي'!DH7</f>
        <v>0</v>
      </c>
      <c r="E24" s="105">
        <f>'كـشـف حضور يومي'!DI7</f>
        <v>0</v>
      </c>
      <c r="F24" s="106">
        <f>H24-مراجع!$B$2</f>
        <v>-0.33333333333333331</v>
      </c>
      <c r="G24" s="106">
        <f>مراجع!$B$2-H24</f>
        <v>0.33333333333333331</v>
      </c>
      <c r="H24" s="105">
        <f t="shared" si="0"/>
        <v>0</v>
      </c>
      <c r="I24" s="107">
        <f>'كـشـف حضور يومي'!DM7</f>
        <v>0</v>
      </c>
    </row>
    <row r="25" spans="1:15" ht="21.95" customHeight="1" x14ac:dyDescent="0.2">
      <c r="A25" s="145">
        <f>'كـشـف حضور يومي'!DN1</f>
        <v>1</v>
      </c>
      <c r="B25" s="146" t="str">
        <f>'كـشـف حضور يومي'!DN2</f>
        <v>السبت</v>
      </c>
      <c r="C25" s="217"/>
      <c r="D25" s="105">
        <f>'كـشـف حضور يومي'!DN7</f>
        <v>0</v>
      </c>
      <c r="E25" s="105">
        <f>'كـشـف حضور يومي'!DO7</f>
        <v>0</v>
      </c>
      <c r="F25" s="106">
        <f>H25-مراجع!$B$2</f>
        <v>-0.33333333333333331</v>
      </c>
      <c r="G25" s="106">
        <f>مراجع!$B$2-H25</f>
        <v>0.33333333333333331</v>
      </c>
      <c r="H25" s="105">
        <f t="shared" si="0"/>
        <v>0</v>
      </c>
      <c r="I25" s="107">
        <f>'كـشـف حضور يومي'!DS7</f>
        <v>0</v>
      </c>
    </row>
    <row r="26" spans="1:15" ht="21.95" customHeight="1" x14ac:dyDescent="0.2">
      <c r="A26" s="145">
        <f>'كـشـف حضور يومي'!DT1</f>
        <v>1</v>
      </c>
      <c r="B26" s="146" t="str">
        <f>'كـشـف حضور يومي'!DT2</f>
        <v>السبت</v>
      </c>
      <c r="C26" s="217"/>
      <c r="D26" s="105">
        <f>'كـشـف حضور يومي'!DT7</f>
        <v>0</v>
      </c>
      <c r="E26" s="105">
        <f>'كـشـف حضور يومي'!DU7</f>
        <v>0</v>
      </c>
      <c r="F26" s="106">
        <f>H26-مراجع!$B$2</f>
        <v>-0.33333333333333331</v>
      </c>
      <c r="G26" s="106">
        <f>مراجع!$B$2-H26</f>
        <v>0.33333333333333331</v>
      </c>
      <c r="H26" s="105">
        <f t="shared" si="0"/>
        <v>0</v>
      </c>
      <c r="I26" s="107">
        <f>'كـشـف حضور يومي'!DY7</f>
        <v>0</v>
      </c>
    </row>
    <row r="27" spans="1:15" ht="21.95" customHeight="1" x14ac:dyDescent="0.2">
      <c r="A27" s="145">
        <f>'كـشـف حضور يومي'!DZ1</f>
        <v>1</v>
      </c>
      <c r="B27" s="146" t="str">
        <f>'كـشـف حضور يومي'!DZ2</f>
        <v>السبت</v>
      </c>
      <c r="C27" s="217"/>
      <c r="D27" s="105">
        <f>'كـشـف حضور يومي'!DZ7</f>
        <v>0</v>
      </c>
      <c r="E27" s="105">
        <f>'كـشـف حضور يومي'!EA7</f>
        <v>0</v>
      </c>
      <c r="F27" s="106">
        <f>H27-مراجع!$B$2</f>
        <v>-0.33333333333333331</v>
      </c>
      <c r="G27" s="106">
        <f>مراجع!$B$2-H27</f>
        <v>0.33333333333333331</v>
      </c>
      <c r="H27" s="105">
        <f t="shared" si="0"/>
        <v>0</v>
      </c>
      <c r="I27" s="107">
        <f>'كـشـف حضور يومي'!EE7</f>
        <v>0</v>
      </c>
    </row>
    <row r="28" spans="1:15" ht="21.95" customHeight="1" x14ac:dyDescent="0.2">
      <c r="A28" s="145">
        <f>'كـشـف حضور يومي'!EF1</f>
        <v>1</v>
      </c>
      <c r="B28" s="146" t="str">
        <f>'كـشـف حضور يومي'!EF2</f>
        <v>السبت</v>
      </c>
      <c r="C28" s="217"/>
      <c r="D28" s="105">
        <f>'كـشـف حضور يومي'!EF7</f>
        <v>0</v>
      </c>
      <c r="E28" s="105">
        <f>'كـشـف حضور يومي'!EG7</f>
        <v>0</v>
      </c>
      <c r="F28" s="106">
        <f>H28-مراجع!$B$2</f>
        <v>-0.33333333333333331</v>
      </c>
      <c r="G28" s="106">
        <f>مراجع!$B$2-H28</f>
        <v>0.33333333333333331</v>
      </c>
      <c r="H28" s="105">
        <f t="shared" si="0"/>
        <v>0</v>
      </c>
      <c r="I28" s="107">
        <f>'كـشـف حضور يومي'!EK7</f>
        <v>0</v>
      </c>
    </row>
    <row r="29" spans="1:15" ht="21.95" customHeight="1" x14ac:dyDescent="0.2">
      <c r="A29" s="145">
        <f>'كـشـف حضور يومي'!EL1</f>
        <v>1</v>
      </c>
      <c r="B29" s="146" t="str">
        <f>'كـشـف حضور يومي'!EL2</f>
        <v>السبت</v>
      </c>
      <c r="C29" s="217"/>
      <c r="D29" s="105">
        <f>'كـشـف حضور يومي'!EL7</f>
        <v>0</v>
      </c>
      <c r="E29" s="105">
        <f>'كـشـف حضور يومي'!EM7</f>
        <v>0</v>
      </c>
      <c r="F29" s="106">
        <f>H29-مراجع!$B$2</f>
        <v>-0.33333333333333331</v>
      </c>
      <c r="G29" s="106">
        <f>مراجع!$B$2-H29</f>
        <v>0.33333333333333331</v>
      </c>
      <c r="H29" s="105">
        <f t="shared" si="0"/>
        <v>0</v>
      </c>
      <c r="I29" s="107">
        <f>'كـشـف حضور يومي'!EQ7</f>
        <v>0</v>
      </c>
    </row>
    <row r="30" spans="1:15" ht="21.95" customHeight="1" x14ac:dyDescent="0.2">
      <c r="A30" s="145">
        <f>'كـشـف حضور يومي'!ER1</f>
        <v>1</v>
      </c>
      <c r="B30" s="146" t="str">
        <f>'كـشـف حضور يومي'!ER2</f>
        <v>السبت</v>
      </c>
      <c r="C30" s="217"/>
      <c r="D30" s="105">
        <f>'كـشـف حضور يومي'!ER7</f>
        <v>0</v>
      </c>
      <c r="E30" s="105">
        <f>'كـشـف حضور يومي'!ES7</f>
        <v>0</v>
      </c>
      <c r="F30" s="106">
        <f>H30-مراجع!$B$2</f>
        <v>-0.33333333333333331</v>
      </c>
      <c r="G30" s="106">
        <f>مراجع!$B$2-H30</f>
        <v>0.33333333333333331</v>
      </c>
      <c r="H30" s="105">
        <f t="shared" si="0"/>
        <v>0</v>
      </c>
      <c r="I30" s="107">
        <f>'كـشـف حضور يومي'!EW7</f>
        <v>0</v>
      </c>
      <c r="O30" s="91"/>
    </row>
    <row r="31" spans="1:15" ht="21.95" customHeight="1" x14ac:dyDescent="0.2">
      <c r="A31" s="145">
        <f>'كـشـف حضور يومي'!EX1</f>
        <v>1</v>
      </c>
      <c r="B31" s="146" t="str">
        <f>'كـشـف حضور يومي'!EX2</f>
        <v>السبت</v>
      </c>
      <c r="C31" s="217"/>
      <c r="D31" s="105">
        <f>'كـشـف حضور يومي'!EX7</f>
        <v>0</v>
      </c>
      <c r="E31" s="105">
        <f>'كـشـف حضور يومي'!EY7</f>
        <v>0</v>
      </c>
      <c r="F31" s="106">
        <f>H31-مراجع!$B$2</f>
        <v>-0.33333333333333331</v>
      </c>
      <c r="G31" s="106">
        <f>مراجع!$B$2-H31</f>
        <v>0.33333333333333331</v>
      </c>
      <c r="H31" s="105">
        <f t="shared" si="0"/>
        <v>0</v>
      </c>
      <c r="I31" s="107">
        <f>'كـشـف حضور يومي'!FC7</f>
        <v>0</v>
      </c>
    </row>
    <row r="32" spans="1:15" ht="21.95" customHeight="1" x14ac:dyDescent="0.2">
      <c r="A32" s="145">
        <f>'كـشـف حضور يومي'!FD1</f>
        <v>1</v>
      </c>
      <c r="B32" s="146" t="str">
        <f>'كـشـف حضور يومي'!FD2</f>
        <v>السبت</v>
      </c>
      <c r="C32" s="217"/>
      <c r="D32" s="105">
        <f>'كـشـف حضور يومي'!FD7</f>
        <v>0</v>
      </c>
      <c r="E32" s="105">
        <f>'كـشـف حضور يومي'!FE7</f>
        <v>0</v>
      </c>
      <c r="F32" s="106">
        <f>H32-مراجع!$B$2</f>
        <v>-0.33333333333333331</v>
      </c>
      <c r="G32" s="106">
        <f>مراجع!$B$2-H32</f>
        <v>0.33333333333333331</v>
      </c>
      <c r="H32" s="105">
        <f t="shared" si="0"/>
        <v>0</v>
      </c>
      <c r="I32" s="107">
        <f>'كـشـف حضور يومي'!FI7</f>
        <v>0</v>
      </c>
    </row>
    <row r="33" spans="1:9" ht="21.95" customHeight="1" x14ac:dyDescent="0.2">
      <c r="A33" s="145">
        <f>'كـشـف حضور يومي'!FJ1</f>
        <v>1</v>
      </c>
      <c r="B33" s="146" t="str">
        <f>'كـشـف حضور يومي'!FJ2</f>
        <v>السبت</v>
      </c>
      <c r="C33" s="217"/>
      <c r="D33" s="105">
        <f>'كـشـف حضور يومي'!FJ7</f>
        <v>0</v>
      </c>
      <c r="E33" s="105">
        <f>'كـشـف حضور يومي'!FK7</f>
        <v>0</v>
      </c>
      <c r="F33" s="106">
        <f>H33-مراجع!$B$2</f>
        <v>-0.33333333333333331</v>
      </c>
      <c r="G33" s="106">
        <f>مراجع!$B$2-H33</f>
        <v>0.33333333333333331</v>
      </c>
      <c r="H33" s="105">
        <f t="shared" si="0"/>
        <v>0</v>
      </c>
      <c r="I33" s="107">
        <f>'كـشـف حضور يومي'!FO7</f>
        <v>0</v>
      </c>
    </row>
    <row r="34" spans="1:9" ht="21.95" customHeight="1" x14ac:dyDescent="0.2">
      <c r="A34" s="145">
        <f>'كـشـف حضور يومي'!FP1</f>
        <v>1</v>
      </c>
      <c r="B34" s="146" t="str">
        <f>'كـشـف حضور يومي'!FP2</f>
        <v>السبت</v>
      </c>
      <c r="C34" s="217"/>
      <c r="D34" s="105">
        <f>'كـشـف حضور يومي'!FP7</f>
        <v>0</v>
      </c>
      <c r="E34" s="105">
        <f>'كـشـف حضور يومي'!FQ7</f>
        <v>0</v>
      </c>
      <c r="F34" s="106">
        <f>H34-مراجع!$B$2</f>
        <v>-0.33333333333333331</v>
      </c>
      <c r="G34" s="106">
        <f>مراجع!$B$2-H34</f>
        <v>0.33333333333333331</v>
      </c>
      <c r="H34" s="105">
        <f t="shared" si="0"/>
        <v>0</v>
      </c>
      <c r="I34" s="107">
        <f>'كـشـف حضور يومي'!FU7</f>
        <v>0</v>
      </c>
    </row>
    <row r="35" spans="1:9" ht="21.95" customHeight="1" x14ac:dyDescent="0.2">
      <c r="A35" s="145">
        <f>'كـشـف حضور يومي'!FV1</f>
        <v>1</v>
      </c>
      <c r="B35" s="146" t="str">
        <f>'كـشـف حضور يومي'!FV2</f>
        <v>السبت</v>
      </c>
      <c r="C35" s="217"/>
      <c r="D35" s="105">
        <f>'كـشـف حضور يومي'!FV7</f>
        <v>0</v>
      </c>
      <c r="E35" s="105">
        <f>'كـشـف حضور يومي'!FW7</f>
        <v>0</v>
      </c>
      <c r="F35" s="106">
        <f>H35-مراجع!$B$2</f>
        <v>-0.33333333333333331</v>
      </c>
      <c r="G35" s="106">
        <f>مراجع!$B$2-H35</f>
        <v>0.33333333333333331</v>
      </c>
      <c r="H35" s="105">
        <f t="shared" si="0"/>
        <v>0</v>
      </c>
      <c r="I35" s="107">
        <f>'كـشـف حضور يومي'!GA7</f>
        <v>0</v>
      </c>
    </row>
    <row r="36" spans="1:9" ht="21.95" customHeight="1" x14ac:dyDescent="0.2">
      <c r="A36" s="145">
        <f>'كـشـف حضور يومي'!GB1</f>
        <v>1</v>
      </c>
      <c r="B36" s="146" t="str">
        <f>'كـشـف حضور يومي'!GB2</f>
        <v>السبت</v>
      </c>
      <c r="C36" s="217"/>
      <c r="D36" s="105">
        <f>'كـشـف حضور يومي'!GB7</f>
        <v>0</v>
      </c>
      <c r="E36" s="105">
        <f>'كـشـف حضور يومي'!GC7</f>
        <v>0</v>
      </c>
      <c r="F36" s="106">
        <f>H36-مراجع!$B$2</f>
        <v>-0.33333333333333331</v>
      </c>
      <c r="G36" s="106">
        <f>مراجع!$B$2-H36</f>
        <v>0.33333333333333331</v>
      </c>
      <c r="H36" s="105">
        <f t="shared" si="0"/>
        <v>0</v>
      </c>
      <c r="I36" s="107">
        <f>'كـشـف حضور يومي'!GG7</f>
        <v>0</v>
      </c>
    </row>
    <row r="37" spans="1:9" ht="21.95" customHeight="1" x14ac:dyDescent="0.2">
      <c r="A37" s="216" t="s">
        <v>64</v>
      </c>
      <c r="B37" s="216"/>
      <c r="C37" s="216"/>
      <c r="D37" s="216"/>
      <c r="E37" s="216"/>
      <c r="F37" s="220">
        <f>SUM(H6:H36)</f>
        <v>0</v>
      </c>
      <c r="G37" s="220"/>
      <c r="H37" s="220"/>
      <c r="I37" s="220"/>
    </row>
    <row r="38" spans="1:9" ht="21.95" customHeight="1" x14ac:dyDescent="0.2">
      <c r="A38" s="215" t="s">
        <v>59</v>
      </c>
      <c r="B38" s="215"/>
      <c r="C38" s="215"/>
      <c r="D38" s="215"/>
      <c r="E38" s="215"/>
      <c r="F38" s="221">
        <f>F37*I2*24</f>
        <v>0</v>
      </c>
      <c r="G38" s="221"/>
      <c r="H38" s="221"/>
      <c r="I38" s="221"/>
    </row>
  </sheetData>
  <sheetProtection algorithmName="SHA-512" hashValue="t70+xPcggvdtC+d4TWDrZAHjviapPCg/dQGprrs68sze+dkElLo03NubHThSs7WH2kqY7ndMOIesi1fJzCKT0g==" saltValue="4tgwaQnxGm4AayxSwtFvAA==" spinCount="100000" sheet="1" objects="1" scenarios="1"/>
  <mergeCells count="14">
    <mergeCell ref="A37:E37"/>
    <mergeCell ref="F37:I37"/>
    <mergeCell ref="A38:E38"/>
    <mergeCell ref="F38:I38"/>
    <mergeCell ref="A3:I3"/>
    <mergeCell ref="A4:B4"/>
    <mergeCell ref="H4:I4"/>
    <mergeCell ref="C5:C36"/>
    <mergeCell ref="A1:B1"/>
    <mergeCell ref="A2:B2"/>
    <mergeCell ref="C4:E4"/>
    <mergeCell ref="D1:F2"/>
    <mergeCell ref="G1:H1"/>
    <mergeCell ref="G2:H2"/>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6C0EA108-DEDF-4FF6-B7C4-985F67D04905}">
          <x14:formula1>
            <xm:f>مراجع!$B$4:$B$15</xm:f>
          </x14:formula1>
          <xm:sqref>C4:E4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38"/>
  <sheetViews>
    <sheetView rightToLeft="1" zoomScaleNormal="100" workbookViewId="0">
      <pane ySplit="5" topLeftCell="A6" activePane="bottomLeft" state="frozen"/>
      <selection pane="bottomLeft" activeCell="G1" sqref="G1:I2"/>
    </sheetView>
  </sheetViews>
  <sheetFormatPr defaultColWidth="10.75" defaultRowHeight="21.95" customHeight="1" x14ac:dyDescent="0.2"/>
  <cols>
    <col min="1" max="9" width="12.75" style="86" customWidth="1"/>
    <col min="10" max="10" width="78.25" style="86" customWidth="1"/>
    <col min="11" max="11" width="4.625" style="85" bestFit="1" customWidth="1"/>
    <col min="12" max="12" width="9.125" style="85" bestFit="1" customWidth="1"/>
    <col min="13" max="13" width="6.375" style="85" bestFit="1" customWidth="1"/>
    <col min="14" max="14" width="10.125" style="85" bestFit="1" customWidth="1"/>
    <col min="15" max="15" width="7.875" style="85" bestFit="1" customWidth="1"/>
    <col min="16" max="16" width="9.125" style="85" bestFit="1" customWidth="1"/>
    <col min="17" max="17" width="9.75" style="85" bestFit="1" customWidth="1"/>
    <col min="18" max="18" width="9" style="85" bestFit="1" customWidth="1"/>
    <col min="19" max="20" width="6.625" style="85" bestFit="1" customWidth="1"/>
    <col min="21" max="21" width="10.125" style="85" bestFit="1" customWidth="1"/>
    <col min="22" max="16384" width="10.75" style="85"/>
  </cols>
  <sheetData>
    <row r="1" spans="1:24" ht="21.95" customHeight="1" x14ac:dyDescent="0.2">
      <c r="A1" s="208" t="s">
        <v>43</v>
      </c>
      <c r="B1" s="208"/>
      <c r="C1" s="96" t="s">
        <v>82</v>
      </c>
      <c r="D1" s="209"/>
      <c r="E1" s="209"/>
      <c r="F1" s="209"/>
      <c r="G1" s="208" t="s">
        <v>21</v>
      </c>
      <c r="H1" s="208"/>
      <c r="I1" s="97" t="s">
        <v>82</v>
      </c>
      <c r="J1"/>
      <c r="K1"/>
      <c r="N1" s="89"/>
      <c r="O1" s="89"/>
      <c r="P1" s="89"/>
      <c r="Q1" s="89"/>
      <c r="R1" s="89"/>
      <c r="S1" s="89"/>
      <c r="T1" s="89"/>
      <c r="U1" s="89"/>
      <c r="V1" s="89"/>
      <c r="W1" s="89"/>
      <c r="X1" s="89"/>
    </row>
    <row r="2" spans="1:24" ht="21.95" customHeight="1" x14ac:dyDescent="0.2">
      <c r="A2" s="207" t="s">
        <v>52</v>
      </c>
      <c r="B2" s="207"/>
      <c r="C2" s="98" t="s">
        <v>82</v>
      </c>
      <c r="D2" s="209"/>
      <c r="E2" s="209"/>
      <c r="F2" s="209"/>
      <c r="G2" s="207" t="s">
        <v>53</v>
      </c>
      <c r="H2" s="207"/>
      <c r="I2" s="99">
        <v>15</v>
      </c>
      <c r="J2"/>
      <c r="K2"/>
      <c r="L2" s="118"/>
      <c r="O2" s="87"/>
      <c r="P2" s="88"/>
      <c r="Q2" s="88"/>
      <c r="R2" s="88"/>
      <c r="S2" s="88"/>
      <c r="T2" s="88"/>
      <c r="U2" s="88"/>
      <c r="V2" s="88"/>
      <c r="W2" s="88"/>
      <c r="X2" s="88"/>
    </row>
    <row r="3" spans="1:24" ht="21.95" customHeight="1" x14ac:dyDescent="0.2">
      <c r="A3" s="223" t="s">
        <v>33</v>
      </c>
      <c r="B3" s="223"/>
      <c r="C3" s="223"/>
      <c r="D3" s="223"/>
      <c r="E3" s="223"/>
      <c r="F3" s="223"/>
      <c r="G3" s="223"/>
      <c r="H3" s="223"/>
      <c r="I3" s="223"/>
      <c r="J3" s="92"/>
      <c r="K3" s="86"/>
      <c r="L3" s="86"/>
      <c r="M3" s="86"/>
      <c r="N3" s="86"/>
      <c r="O3" s="86"/>
      <c r="P3" s="86"/>
      <c r="Q3" s="90"/>
      <c r="R3" s="90"/>
      <c r="S3" s="90"/>
      <c r="T3" s="90"/>
    </row>
    <row r="4" spans="1:24" ht="21.95" customHeight="1" x14ac:dyDescent="0.2">
      <c r="A4" s="213" t="s">
        <v>4</v>
      </c>
      <c r="B4" s="213"/>
      <c r="C4" s="213" t="s">
        <v>42</v>
      </c>
      <c r="D4" s="213"/>
      <c r="E4" s="213"/>
      <c r="F4" s="144" t="s">
        <v>54</v>
      </c>
      <c r="G4" s="144"/>
      <c r="H4" s="214" t="s">
        <v>82</v>
      </c>
      <c r="I4" s="214"/>
      <c r="J4" s="92"/>
      <c r="K4" s="86"/>
      <c r="L4" s="86"/>
      <c r="M4" s="86"/>
      <c r="N4" s="86"/>
      <c r="O4" s="86"/>
      <c r="P4" s="86"/>
      <c r="Q4" s="90"/>
      <c r="R4" s="90"/>
      <c r="S4" s="90"/>
      <c r="T4" s="90"/>
    </row>
    <row r="5" spans="1:24" ht="21.95" customHeight="1" x14ac:dyDescent="0.2">
      <c r="A5" s="100" t="s">
        <v>56</v>
      </c>
      <c r="B5" s="100" t="s">
        <v>55</v>
      </c>
      <c r="C5" s="217"/>
      <c r="D5" s="102" t="s">
        <v>23</v>
      </c>
      <c r="E5" s="102" t="s">
        <v>24</v>
      </c>
      <c r="F5" s="103" t="s">
        <v>57</v>
      </c>
      <c r="G5" s="104" t="s">
        <v>58</v>
      </c>
      <c r="H5" s="102" t="s">
        <v>17</v>
      </c>
      <c r="I5" s="102" t="s">
        <v>25</v>
      </c>
      <c r="J5" s="93"/>
    </row>
    <row r="6" spans="1:24" ht="21.95" customHeight="1" x14ac:dyDescent="0.2">
      <c r="A6" s="145">
        <f>'كـشـف حضور يومي'!D1</f>
        <v>1</v>
      </c>
      <c r="B6" s="146" t="str">
        <f>'كـشـف حضور يومي'!D2</f>
        <v>السبت</v>
      </c>
      <c r="C6" s="217"/>
      <c r="D6" s="105">
        <f>'كـشـف حضور يومي'!D8</f>
        <v>0</v>
      </c>
      <c r="E6" s="105">
        <f>'كـشـف حضور يومي'!E8</f>
        <v>0</v>
      </c>
      <c r="F6" s="106">
        <f>H6-مراجع!$B$2</f>
        <v>-0.33333333333333331</v>
      </c>
      <c r="G6" s="106">
        <f>مراجع!$B$2-H6</f>
        <v>0.33333333333333331</v>
      </c>
      <c r="H6" s="105">
        <f>SUM(E6-D6)</f>
        <v>0</v>
      </c>
      <c r="I6" s="107">
        <f>'كـشـف حضور يومي'!I8</f>
        <v>0</v>
      </c>
      <c r="J6" s="94"/>
    </row>
    <row r="7" spans="1:24" ht="21.95" customHeight="1" x14ac:dyDescent="0.2">
      <c r="A7" s="145">
        <f>'كـشـف حضور يومي'!J1</f>
        <v>1</v>
      </c>
      <c r="B7" s="146" t="str">
        <f>'كـشـف حضور يومي'!J2</f>
        <v>السبت</v>
      </c>
      <c r="C7" s="217"/>
      <c r="D7" s="105">
        <f>'كـشـف حضور يومي'!J8</f>
        <v>0</v>
      </c>
      <c r="E7" s="105">
        <f>'كـشـف حضور يومي'!K8</f>
        <v>0</v>
      </c>
      <c r="F7" s="106">
        <f>H7-مراجع!$B$2</f>
        <v>-0.33333333333333331</v>
      </c>
      <c r="G7" s="106">
        <f>مراجع!$B$2-H7</f>
        <v>0.33333333333333331</v>
      </c>
      <c r="H7" s="105">
        <f>SUM(E7-D7)</f>
        <v>0</v>
      </c>
      <c r="I7" s="107">
        <f>'كـشـف حضور يومي'!O8</f>
        <v>0</v>
      </c>
      <c r="J7" s="94"/>
    </row>
    <row r="8" spans="1:24" ht="21.95" customHeight="1" x14ac:dyDescent="0.2">
      <c r="A8" s="145">
        <f>'كـشـف حضور يومي'!P1</f>
        <v>1</v>
      </c>
      <c r="B8" s="146" t="str">
        <f>'كـشـف حضور يومي'!P2</f>
        <v>السبت</v>
      </c>
      <c r="C8" s="217"/>
      <c r="D8" s="105">
        <f>'كـشـف حضور يومي'!P8</f>
        <v>0</v>
      </c>
      <c r="E8" s="105">
        <f>'كـشـف حضور يومي'!Q8</f>
        <v>0</v>
      </c>
      <c r="F8" s="106">
        <f>H8-مراجع!$B$2</f>
        <v>-0.33333333333333331</v>
      </c>
      <c r="G8" s="106">
        <f>مراجع!$B$2-H8</f>
        <v>0.33333333333333331</v>
      </c>
      <c r="H8" s="105">
        <f t="shared" ref="H8:H36" si="0">SUM(E8-D8)</f>
        <v>0</v>
      </c>
      <c r="I8" s="107">
        <f>'كـشـف حضور يومي'!U8</f>
        <v>0</v>
      </c>
      <c r="J8" s="94"/>
    </row>
    <row r="9" spans="1:24" ht="21.95" customHeight="1" x14ac:dyDescent="0.2">
      <c r="A9" s="145">
        <f>'كـشـف حضور يومي'!V1</f>
        <v>1</v>
      </c>
      <c r="B9" s="147" t="str">
        <f>'كـشـف حضور يومي'!V2</f>
        <v>السبت</v>
      </c>
      <c r="C9" s="217"/>
      <c r="D9" s="105">
        <f>'كـشـف حضور يومي'!V8</f>
        <v>0</v>
      </c>
      <c r="E9" s="105">
        <f>'كـشـف حضور يومي'!W8</f>
        <v>0</v>
      </c>
      <c r="F9" s="106">
        <f>H9-مراجع!$B$2</f>
        <v>-0.33333333333333331</v>
      </c>
      <c r="G9" s="106">
        <f>مراجع!$B$2-H9</f>
        <v>0.33333333333333331</v>
      </c>
      <c r="H9" s="105">
        <f t="shared" si="0"/>
        <v>0</v>
      </c>
      <c r="I9" s="107">
        <f>'كـشـف حضور يومي'!AA8</f>
        <v>0</v>
      </c>
      <c r="J9" s="94"/>
    </row>
    <row r="10" spans="1:24" ht="21.95" customHeight="1" x14ac:dyDescent="0.2">
      <c r="A10" s="145">
        <f>'كـشـف حضور يومي'!AB1</f>
        <v>1</v>
      </c>
      <c r="B10" s="146" t="str">
        <f>'كـشـف حضور يومي'!AB2</f>
        <v>السبت</v>
      </c>
      <c r="C10" s="217"/>
      <c r="D10" s="105">
        <f>'كـشـف حضور يومي'!AB8</f>
        <v>0</v>
      </c>
      <c r="E10" s="105">
        <f>'كـشـف حضور يومي'!AC8</f>
        <v>0</v>
      </c>
      <c r="F10" s="106">
        <f>H10-مراجع!$B$2</f>
        <v>-0.33333333333333331</v>
      </c>
      <c r="G10" s="106">
        <f>مراجع!$B$2-H10</f>
        <v>0.33333333333333331</v>
      </c>
      <c r="H10" s="105">
        <f t="shared" si="0"/>
        <v>0</v>
      </c>
      <c r="I10" s="107">
        <f>'كـشـف حضور يومي'!AG8</f>
        <v>0</v>
      </c>
      <c r="J10" s="94"/>
    </row>
    <row r="11" spans="1:24" ht="21.95" customHeight="1" x14ac:dyDescent="0.2">
      <c r="A11" s="145">
        <f>'كـشـف حضور يومي'!AH1</f>
        <v>1</v>
      </c>
      <c r="B11" s="146" t="str">
        <f>'كـشـف حضور يومي'!AH2</f>
        <v>السبت</v>
      </c>
      <c r="C11" s="217"/>
      <c r="D11" s="105">
        <f>'كـشـف حضور يومي'!AH8</f>
        <v>0</v>
      </c>
      <c r="E11" s="105">
        <f>'كـشـف حضور يومي'!AI8</f>
        <v>0</v>
      </c>
      <c r="F11" s="106">
        <f>H11-مراجع!$B$2</f>
        <v>-0.33333333333333331</v>
      </c>
      <c r="G11" s="106">
        <f>مراجع!$B$2-H11</f>
        <v>0.33333333333333331</v>
      </c>
      <c r="H11" s="105">
        <f t="shared" si="0"/>
        <v>0</v>
      </c>
      <c r="I11" s="107">
        <f>'كـشـف حضور يومي'!AM8</f>
        <v>0</v>
      </c>
      <c r="J11" s="94"/>
    </row>
    <row r="12" spans="1:24" ht="21.95" customHeight="1" x14ac:dyDescent="0.2">
      <c r="A12" s="145">
        <f>'كـشـف حضور يومي'!AN1</f>
        <v>1</v>
      </c>
      <c r="B12" s="146" t="str">
        <f>'كـشـف حضور يومي'!AN2</f>
        <v>السبت</v>
      </c>
      <c r="C12" s="217"/>
      <c r="D12" s="105">
        <f>'كـشـف حضور يومي'!AN8</f>
        <v>0</v>
      </c>
      <c r="E12" s="105">
        <f>'كـشـف حضور يومي'!AO8</f>
        <v>0</v>
      </c>
      <c r="F12" s="106">
        <f>H12-مراجع!$B$2</f>
        <v>-0.33333333333333331</v>
      </c>
      <c r="G12" s="106">
        <f>مراجع!$B$2-H12</f>
        <v>0.33333333333333331</v>
      </c>
      <c r="H12" s="105">
        <f t="shared" si="0"/>
        <v>0</v>
      </c>
      <c r="I12" s="107">
        <f>'كـشـف حضور يومي'!AS8</f>
        <v>0</v>
      </c>
      <c r="J12" s="94"/>
    </row>
    <row r="13" spans="1:24" ht="21.95" customHeight="1" x14ac:dyDescent="0.2">
      <c r="A13" s="145">
        <f>'كـشـف حضور يومي'!AT1</f>
        <v>1</v>
      </c>
      <c r="B13" s="146" t="str">
        <f>'كـشـف حضور يومي'!AT2</f>
        <v>السبت</v>
      </c>
      <c r="C13" s="217"/>
      <c r="D13" s="105">
        <f>'كـشـف حضور يومي'!AT8</f>
        <v>0</v>
      </c>
      <c r="E13" s="105">
        <f>'كـشـف حضور يومي'!AU8</f>
        <v>0</v>
      </c>
      <c r="F13" s="106">
        <f>H13-مراجع!$B$2</f>
        <v>-0.33333333333333331</v>
      </c>
      <c r="G13" s="106">
        <f>مراجع!$B$2-H13</f>
        <v>0.33333333333333331</v>
      </c>
      <c r="H13" s="105">
        <f t="shared" si="0"/>
        <v>0</v>
      </c>
      <c r="I13" s="107">
        <f>'كـشـف حضور يومي'!AY8</f>
        <v>0</v>
      </c>
      <c r="J13" s="94"/>
    </row>
    <row r="14" spans="1:24" ht="21.95" customHeight="1" x14ac:dyDescent="0.2">
      <c r="A14" s="145">
        <f>'كـشـف حضور يومي'!AZ1</f>
        <v>1</v>
      </c>
      <c r="B14" s="146" t="str">
        <f>'كـشـف حضور يومي'!AZ2</f>
        <v>السبت</v>
      </c>
      <c r="C14" s="217"/>
      <c r="D14" s="105">
        <f>'كـشـف حضور يومي'!AZ8</f>
        <v>0</v>
      </c>
      <c r="E14" s="105">
        <f>'كـشـف حضور يومي'!BA8</f>
        <v>0</v>
      </c>
      <c r="F14" s="106">
        <f>H14-مراجع!$B$2</f>
        <v>-0.33333333333333331</v>
      </c>
      <c r="G14" s="106">
        <f>مراجع!$B$2-H14</f>
        <v>0.33333333333333331</v>
      </c>
      <c r="H14" s="105">
        <f t="shared" si="0"/>
        <v>0</v>
      </c>
      <c r="I14" s="107">
        <f>'كـشـف حضور يومي'!BE8</f>
        <v>0</v>
      </c>
      <c r="J14" s="94"/>
    </row>
    <row r="15" spans="1:24" ht="21.95" customHeight="1" x14ac:dyDescent="0.2">
      <c r="A15" s="145">
        <f>'كـشـف حضور يومي'!BF1</f>
        <v>1</v>
      </c>
      <c r="B15" s="146" t="str">
        <f>'كـشـف حضور يومي'!BF2</f>
        <v>السبت</v>
      </c>
      <c r="C15" s="217"/>
      <c r="D15" s="105">
        <f>'كـشـف حضور يومي'!BF8</f>
        <v>0</v>
      </c>
      <c r="E15" s="105">
        <f>'كـشـف حضور يومي'!BG8</f>
        <v>0</v>
      </c>
      <c r="F15" s="106">
        <f>H15-مراجع!$B$2</f>
        <v>-0.33333333333333331</v>
      </c>
      <c r="G15" s="106">
        <f>مراجع!$B$2-H15</f>
        <v>0.33333333333333331</v>
      </c>
      <c r="H15" s="105">
        <f t="shared" si="0"/>
        <v>0</v>
      </c>
      <c r="I15" s="107">
        <f>'كـشـف حضور يومي'!BK8</f>
        <v>0</v>
      </c>
      <c r="J15" s="94"/>
    </row>
    <row r="16" spans="1:24" ht="21.95" customHeight="1" x14ac:dyDescent="0.2">
      <c r="A16" s="145">
        <f>'كـشـف حضور يومي'!BL1</f>
        <v>1</v>
      </c>
      <c r="B16" s="146" t="str">
        <f>'كـشـف حضور يومي'!BL2</f>
        <v>السبت</v>
      </c>
      <c r="C16" s="217"/>
      <c r="D16" s="105">
        <f>'كـشـف حضور يومي'!BL8</f>
        <v>0</v>
      </c>
      <c r="E16" s="105">
        <f>'كـشـف حضور يومي'!BM8</f>
        <v>0</v>
      </c>
      <c r="F16" s="106">
        <f>H16-مراجع!$B$2</f>
        <v>-0.33333333333333331</v>
      </c>
      <c r="G16" s="106">
        <f>مراجع!$B$2-H16</f>
        <v>0.33333333333333331</v>
      </c>
      <c r="H16" s="105">
        <f t="shared" si="0"/>
        <v>0</v>
      </c>
      <c r="I16" s="107">
        <f>'كـشـف حضور يومي'!BQ8</f>
        <v>0</v>
      </c>
      <c r="J16" s="94"/>
    </row>
    <row r="17" spans="1:15" ht="21.95" customHeight="1" x14ac:dyDescent="0.2">
      <c r="A17" s="145">
        <f>'كـشـف حضور يومي'!BR1</f>
        <v>1</v>
      </c>
      <c r="B17" s="146" t="str">
        <f>'كـشـف حضور يومي'!BR2</f>
        <v>السبت</v>
      </c>
      <c r="C17" s="217"/>
      <c r="D17" s="105">
        <f>'كـشـف حضور يومي'!BR8</f>
        <v>0</v>
      </c>
      <c r="E17" s="105">
        <f>'كـشـف حضور يومي'!BS8</f>
        <v>0</v>
      </c>
      <c r="F17" s="106">
        <f>H17-مراجع!$B$2</f>
        <v>-0.33333333333333331</v>
      </c>
      <c r="G17" s="106">
        <f>مراجع!$B$2-H17</f>
        <v>0.33333333333333331</v>
      </c>
      <c r="H17" s="105">
        <f t="shared" si="0"/>
        <v>0</v>
      </c>
      <c r="I17" s="107">
        <f>'كـشـف حضور يومي'!BW8</f>
        <v>0</v>
      </c>
      <c r="J17" s="94"/>
    </row>
    <row r="18" spans="1:15" ht="21.95" customHeight="1" x14ac:dyDescent="0.2">
      <c r="A18" s="145">
        <f>'كـشـف حضور يومي'!BX1</f>
        <v>1</v>
      </c>
      <c r="B18" s="146" t="str">
        <f>'كـشـف حضور يومي'!BX2</f>
        <v>السبت</v>
      </c>
      <c r="C18" s="217"/>
      <c r="D18" s="105">
        <f>'كـشـف حضور يومي'!BX8</f>
        <v>0</v>
      </c>
      <c r="E18" s="105">
        <f>'كـشـف حضور يومي'!BY8</f>
        <v>0</v>
      </c>
      <c r="F18" s="106">
        <f>H18-مراجع!$B$2</f>
        <v>-0.33333333333333331</v>
      </c>
      <c r="G18" s="106">
        <f>مراجع!$B$2-H18</f>
        <v>0.33333333333333331</v>
      </c>
      <c r="H18" s="105">
        <f t="shared" si="0"/>
        <v>0</v>
      </c>
      <c r="I18" s="107">
        <f>'كـشـف حضور يومي'!CC8</f>
        <v>0</v>
      </c>
    </row>
    <row r="19" spans="1:15" ht="21.95" customHeight="1" x14ac:dyDescent="0.2">
      <c r="A19" s="145">
        <f>'كـشـف حضور يومي'!CD1</f>
        <v>1</v>
      </c>
      <c r="B19" s="146" t="str">
        <f>'كـشـف حضور يومي'!CD2</f>
        <v>السبت</v>
      </c>
      <c r="C19" s="217"/>
      <c r="D19" s="105">
        <f>'كـشـف حضور يومي'!CD8</f>
        <v>0</v>
      </c>
      <c r="E19" s="105">
        <f>'كـشـف حضور يومي'!CE8</f>
        <v>0</v>
      </c>
      <c r="F19" s="106">
        <f>H19-مراجع!$B$2</f>
        <v>-0.33333333333333331</v>
      </c>
      <c r="G19" s="106">
        <f>مراجع!$B$2-H19</f>
        <v>0.33333333333333331</v>
      </c>
      <c r="H19" s="105">
        <f t="shared" si="0"/>
        <v>0</v>
      </c>
      <c r="I19" s="107">
        <f>'كـشـف حضور يومي'!CI8</f>
        <v>0</v>
      </c>
    </row>
    <row r="20" spans="1:15" ht="21.95" customHeight="1" x14ac:dyDescent="0.2">
      <c r="A20" s="145">
        <f>'كـشـف حضور يومي'!CJ1</f>
        <v>1</v>
      </c>
      <c r="B20" s="146" t="str">
        <f>'كـشـف حضور يومي'!CJ2</f>
        <v>السبت</v>
      </c>
      <c r="C20" s="217"/>
      <c r="D20" s="105">
        <f>'كـشـف حضور يومي'!CJ8</f>
        <v>0</v>
      </c>
      <c r="E20" s="105">
        <f>'كـشـف حضور يومي'!CK8</f>
        <v>0</v>
      </c>
      <c r="F20" s="106">
        <f>H20-مراجع!$B$2</f>
        <v>-0.33333333333333331</v>
      </c>
      <c r="G20" s="106">
        <f>مراجع!$B$2-H20</f>
        <v>0.33333333333333331</v>
      </c>
      <c r="H20" s="105">
        <f t="shared" si="0"/>
        <v>0</v>
      </c>
      <c r="I20" s="107">
        <f>'كـشـف حضور يومي'!CO8</f>
        <v>0</v>
      </c>
    </row>
    <row r="21" spans="1:15" ht="21.95" customHeight="1" x14ac:dyDescent="0.2">
      <c r="A21" s="145">
        <f>'كـشـف حضور يومي'!CP1</f>
        <v>1</v>
      </c>
      <c r="B21" s="146" t="str">
        <f>'كـشـف حضور يومي'!CP2</f>
        <v>السبت</v>
      </c>
      <c r="C21" s="217"/>
      <c r="D21" s="105">
        <f>'كـشـف حضور يومي'!CP8</f>
        <v>0</v>
      </c>
      <c r="E21" s="105">
        <f>'كـشـف حضور يومي'!CQ8</f>
        <v>0</v>
      </c>
      <c r="F21" s="106">
        <f>H21-مراجع!$B$2</f>
        <v>-0.33333333333333331</v>
      </c>
      <c r="G21" s="106">
        <f>مراجع!$B$2-H21</f>
        <v>0.33333333333333331</v>
      </c>
      <c r="H21" s="105">
        <f t="shared" si="0"/>
        <v>0</v>
      </c>
      <c r="I21" s="107">
        <f>'كـشـف حضور يومي'!CU8</f>
        <v>0</v>
      </c>
    </row>
    <row r="22" spans="1:15" ht="21.95" customHeight="1" x14ac:dyDescent="0.2">
      <c r="A22" s="145">
        <f>'كـشـف حضور يومي'!CV1</f>
        <v>1</v>
      </c>
      <c r="B22" s="146" t="str">
        <f>'كـشـف حضور يومي'!CV2</f>
        <v>السبت</v>
      </c>
      <c r="C22" s="217"/>
      <c r="D22" s="105">
        <f>'كـشـف حضور يومي'!CV8</f>
        <v>0</v>
      </c>
      <c r="E22" s="105">
        <f>'كـشـف حضور يومي'!CW8</f>
        <v>0</v>
      </c>
      <c r="F22" s="106">
        <f>H22-مراجع!$B$2</f>
        <v>-0.33333333333333331</v>
      </c>
      <c r="G22" s="106">
        <f>مراجع!$B$2-H22</f>
        <v>0.33333333333333331</v>
      </c>
      <c r="H22" s="105">
        <f t="shared" si="0"/>
        <v>0</v>
      </c>
      <c r="I22" s="107">
        <f>'كـشـف حضور يومي'!DA8</f>
        <v>0</v>
      </c>
    </row>
    <row r="23" spans="1:15" ht="21.95" customHeight="1" x14ac:dyDescent="0.2">
      <c r="A23" s="145">
        <f>'كـشـف حضور يومي'!DB1</f>
        <v>1</v>
      </c>
      <c r="B23" s="146" t="str">
        <f>'كـشـف حضور يومي'!DB2</f>
        <v>السبت</v>
      </c>
      <c r="C23" s="217"/>
      <c r="D23" s="105">
        <f>'كـشـف حضور يومي'!DB8</f>
        <v>0</v>
      </c>
      <c r="E23" s="105">
        <f>'كـشـف حضور يومي'!DC8</f>
        <v>0</v>
      </c>
      <c r="F23" s="106">
        <f>H23-مراجع!$B$2</f>
        <v>-0.33333333333333331</v>
      </c>
      <c r="G23" s="106">
        <f>مراجع!$B$2-H23</f>
        <v>0.33333333333333331</v>
      </c>
      <c r="H23" s="105">
        <f t="shared" si="0"/>
        <v>0</v>
      </c>
      <c r="I23" s="107">
        <f>'كـشـف حضور يومي'!DG8</f>
        <v>0</v>
      </c>
    </row>
    <row r="24" spans="1:15" ht="21.95" customHeight="1" x14ac:dyDescent="0.2">
      <c r="A24" s="145">
        <f>'كـشـف حضور يومي'!DH1</f>
        <v>1</v>
      </c>
      <c r="B24" s="146" t="str">
        <f>'كـشـف حضور يومي'!DH2</f>
        <v>السبت</v>
      </c>
      <c r="C24" s="217"/>
      <c r="D24" s="105">
        <f>'كـشـف حضور يومي'!DH8</f>
        <v>0</v>
      </c>
      <c r="E24" s="105">
        <f>'كـشـف حضور يومي'!DI8</f>
        <v>0</v>
      </c>
      <c r="F24" s="106">
        <f>H24-مراجع!$B$2</f>
        <v>-0.33333333333333331</v>
      </c>
      <c r="G24" s="106">
        <f>مراجع!$B$2-H24</f>
        <v>0.33333333333333331</v>
      </c>
      <c r="H24" s="105">
        <f t="shared" si="0"/>
        <v>0</v>
      </c>
      <c r="I24" s="107">
        <f>'كـشـف حضور يومي'!DM8</f>
        <v>0</v>
      </c>
    </row>
    <row r="25" spans="1:15" ht="21.95" customHeight="1" x14ac:dyDescent="0.2">
      <c r="A25" s="145">
        <f>'كـشـف حضور يومي'!DN1</f>
        <v>1</v>
      </c>
      <c r="B25" s="146" t="str">
        <f>'كـشـف حضور يومي'!DN2</f>
        <v>السبت</v>
      </c>
      <c r="C25" s="217"/>
      <c r="D25" s="105">
        <f>'كـشـف حضور يومي'!DN8</f>
        <v>0</v>
      </c>
      <c r="E25" s="105">
        <f>'كـشـف حضور يومي'!DO8</f>
        <v>0</v>
      </c>
      <c r="F25" s="106">
        <f>H25-مراجع!$B$2</f>
        <v>-0.33333333333333331</v>
      </c>
      <c r="G25" s="106">
        <f>مراجع!$B$2-H25</f>
        <v>0.33333333333333331</v>
      </c>
      <c r="H25" s="105">
        <f t="shared" si="0"/>
        <v>0</v>
      </c>
      <c r="I25" s="107">
        <f>'كـشـف حضور يومي'!DS8</f>
        <v>0</v>
      </c>
    </row>
    <row r="26" spans="1:15" ht="21.95" customHeight="1" x14ac:dyDescent="0.2">
      <c r="A26" s="145">
        <f>'كـشـف حضور يومي'!DT1</f>
        <v>1</v>
      </c>
      <c r="B26" s="146" t="str">
        <f>'كـشـف حضور يومي'!DT2</f>
        <v>السبت</v>
      </c>
      <c r="C26" s="217"/>
      <c r="D26" s="105">
        <f>'كـشـف حضور يومي'!DT8</f>
        <v>0</v>
      </c>
      <c r="E26" s="105">
        <f>'كـشـف حضور يومي'!DU8</f>
        <v>0</v>
      </c>
      <c r="F26" s="106">
        <f>H26-مراجع!$B$2</f>
        <v>-0.33333333333333331</v>
      </c>
      <c r="G26" s="106">
        <f>مراجع!$B$2-H26</f>
        <v>0.33333333333333331</v>
      </c>
      <c r="H26" s="105">
        <f t="shared" si="0"/>
        <v>0</v>
      </c>
      <c r="I26" s="107">
        <f>'كـشـف حضور يومي'!DY8</f>
        <v>0</v>
      </c>
    </row>
    <row r="27" spans="1:15" ht="21.95" customHeight="1" x14ac:dyDescent="0.2">
      <c r="A27" s="145">
        <f>'كـشـف حضور يومي'!DZ1</f>
        <v>1</v>
      </c>
      <c r="B27" s="146" t="str">
        <f>'كـشـف حضور يومي'!DZ2</f>
        <v>السبت</v>
      </c>
      <c r="C27" s="217"/>
      <c r="D27" s="105">
        <f>'كـشـف حضور يومي'!DZ8</f>
        <v>0</v>
      </c>
      <c r="E27" s="105">
        <f>'كـشـف حضور يومي'!EA8</f>
        <v>0</v>
      </c>
      <c r="F27" s="106">
        <f>H27-مراجع!$B$2</f>
        <v>-0.33333333333333331</v>
      </c>
      <c r="G27" s="106">
        <f>مراجع!$B$2-H27</f>
        <v>0.33333333333333331</v>
      </c>
      <c r="H27" s="105">
        <f t="shared" si="0"/>
        <v>0</v>
      </c>
      <c r="I27" s="107">
        <f>'كـشـف حضور يومي'!EE8</f>
        <v>0</v>
      </c>
    </row>
    <row r="28" spans="1:15" ht="21.95" customHeight="1" x14ac:dyDescent="0.2">
      <c r="A28" s="145">
        <f>'كـشـف حضور يومي'!EF1</f>
        <v>1</v>
      </c>
      <c r="B28" s="146" t="str">
        <f>'كـشـف حضور يومي'!EF2</f>
        <v>السبت</v>
      </c>
      <c r="C28" s="217"/>
      <c r="D28" s="105">
        <f>'كـشـف حضور يومي'!EF8</f>
        <v>0</v>
      </c>
      <c r="E28" s="105">
        <f>'كـشـف حضور يومي'!EG8</f>
        <v>0</v>
      </c>
      <c r="F28" s="106">
        <f>H28-مراجع!$B$2</f>
        <v>-0.33333333333333331</v>
      </c>
      <c r="G28" s="106">
        <f>مراجع!$B$2-H28</f>
        <v>0.33333333333333331</v>
      </c>
      <c r="H28" s="105">
        <f t="shared" si="0"/>
        <v>0</v>
      </c>
      <c r="I28" s="107">
        <f>'كـشـف حضور يومي'!EK8</f>
        <v>0</v>
      </c>
    </row>
    <row r="29" spans="1:15" ht="21.95" customHeight="1" x14ac:dyDescent="0.2">
      <c r="A29" s="145">
        <f>'كـشـف حضور يومي'!EL1</f>
        <v>1</v>
      </c>
      <c r="B29" s="146" t="str">
        <f>'كـشـف حضور يومي'!EL2</f>
        <v>السبت</v>
      </c>
      <c r="C29" s="217"/>
      <c r="D29" s="105">
        <f>'كـشـف حضور يومي'!EL8</f>
        <v>0</v>
      </c>
      <c r="E29" s="105">
        <f>'كـشـف حضور يومي'!EM8</f>
        <v>0</v>
      </c>
      <c r="F29" s="106">
        <f>H29-مراجع!$B$2</f>
        <v>-0.33333333333333331</v>
      </c>
      <c r="G29" s="106">
        <f>مراجع!$B$2-H29</f>
        <v>0.33333333333333331</v>
      </c>
      <c r="H29" s="105">
        <f t="shared" si="0"/>
        <v>0</v>
      </c>
      <c r="I29" s="107">
        <f>'كـشـف حضور يومي'!EQ8</f>
        <v>0</v>
      </c>
    </row>
    <row r="30" spans="1:15" ht="21.95" customHeight="1" x14ac:dyDescent="0.2">
      <c r="A30" s="145">
        <f>'كـشـف حضور يومي'!ER1</f>
        <v>1</v>
      </c>
      <c r="B30" s="146" t="str">
        <f>'كـشـف حضور يومي'!ER2</f>
        <v>السبت</v>
      </c>
      <c r="C30" s="217"/>
      <c r="D30" s="105">
        <f>'كـشـف حضور يومي'!ER8</f>
        <v>0</v>
      </c>
      <c r="E30" s="105">
        <f>'كـشـف حضور يومي'!ES8</f>
        <v>0</v>
      </c>
      <c r="F30" s="106">
        <f>H30-مراجع!$B$2</f>
        <v>-0.33333333333333331</v>
      </c>
      <c r="G30" s="106">
        <f>مراجع!$B$2-H30</f>
        <v>0.33333333333333331</v>
      </c>
      <c r="H30" s="105">
        <f t="shared" si="0"/>
        <v>0</v>
      </c>
      <c r="I30" s="107">
        <f>'كـشـف حضور يومي'!EW8</f>
        <v>0</v>
      </c>
      <c r="O30" s="91"/>
    </row>
    <row r="31" spans="1:15" ht="21.95" customHeight="1" x14ac:dyDescent="0.2">
      <c r="A31" s="145">
        <f>'كـشـف حضور يومي'!EX1</f>
        <v>1</v>
      </c>
      <c r="B31" s="146" t="str">
        <f>'كـشـف حضور يومي'!EX2</f>
        <v>السبت</v>
      </c>
      <c r="C31" s="217"/>
      <c r="D31" s="105">
        <f>'كـشـف حضور يومي'!EX8</f>
        <v>0</v>
      </c>
      <c r="E31" s="105">
        <f>'كـشـف حضور يومي'!EY8</f>
        <v>0</v>
      </c>
      <c r="F31" s="106">
        <f>H31-مراجع!$B$2</f>
        <v>-0.33333333333333331</v>
      </c>
      <c r="G31" s="106">
        <f>مراجع!$B$2-H31</f>
        <v>0.33333333333333331</v>
      </c>
      <c r="H31" s="105">
        <f t="shared" si="0"/>
        <v>0</v>
      </c>
      <c r="I31" s="107">
        <f>'كـشـف حضور يومي'!FC8</f>
        <v>0</v>
      </c>
    </row>
    <row r="32" spans="1:15" ht="21.95" customHeight="1" x14ac:dyDescent="0.2">
      <c r="A32" s="145">
        <f>'كـشـف حضور يومي'!FD1</f>
        <v>1</v>
      </c>
      <c r="B32" s="146" t="str">
        <f>'كـشـف حضور يومي'!FD2</f>
        <v>السبت</v>
      </c>
      <c r="C32" s="217"/>
      <c r="D32" s="105">
        <f>'كـشـف حضور يومي'!FD8</f>
        <v>0</v>
      </c>
      <c r="E32" s="105">
        <f>'كـشـف حضور يومي'!FE8</f>
        <v>0</v>
      </c>
      <c r="F32" s="106">
        <f>H32-مراجع!$B$2</f>
        <v>-0.33333333333333331</v>
      </c>
      <c r="G32" s="106">
        <f>مراجع!$B$2-H32</f>
        <v>0.33333333333333331</v>
      </c>
      <c r="H32" s="105">
        <f t="shared" si="0"/>
        <v>0</v>
      </c>
      <c r="I32" s="107">
        <f>'كـشـف حضور يومي'!FI8</f>
        <v>0</v>
      </c>
    </row>
    <row r="33" spans="1:9" ht="21.95" customHeight="1" x14ac:dyDescent="0.2">
      <c r="A33" s="145">
        <f>'كـشـف حضور يومي'!FJ1</f>
        <v>1</v>
      </c>
      <c r="B33" s="146" t="str">
        <f>'كـشـف حضور يومي'!FJ2</f>
        <v>السبت</v>
      </c>
      <c r="C33" s="217"/>
      <c r="D33" s="105">
        <f>'كـشـف حضور يومي'!FJ8</f>
        <v>0</v>
      </c>
      <c r="E33" s="105">
        <f>'كـشـف حضور يومي'!FK8</f>
        <v>0</v>
      </c>
      <c r="F33" s="106">
        <f>H33-مراجع!$B$2</f>
        <v>-0.33333333333333331</v>
      </c>
      <c r="G33" s="106">
        <f>مراجع!$B$2-H33</f>
        <v>0.33333333333333331</v>
      </c>
      <c r="H33" s="105">
        <f t="shared" si="0"/>
        <v>0</v>
      </c>
      <c r="I33" s="107">
        <f>'كـشـف حضور يومي'!FO8</f>
        <v>0</v>
      </c>
    </row>
    <row r="34" spans="1:9" ht="21.95" customHeight="1" x14ac:dyDescent="0.2">
      <c r="A34" s="145">
        <f>'كـشـف حضور يومي'!FP1</f>
        <v>1</v>
      </c>
      <c r="B34" s="146" t="str">
        <f>'كـشـف حضور يومي'!FP2</f>
        <v>السبت</v>
      </c>
      <c r="C34" s="217"/>
      <c r="D34" s="105">
        <f>'كـشـف حضور يومي'!FP8</f>
        <v>0</v>
      </c>
      <c r="E34" s="105">
        <f>'كـشـف حضور يومي'!FQ8</f>
        <v>0</v>
      </c>
      <c r="F34" s="106">
        <f>H34-مراجع!$B$2</f>
        <v>-0.33333333333333331</v>
      </c>
      <c r="G34" s="106">
        <f>مراجع!$B$2-H34</f>
        <v>0.33333333333333331</v>
      </c>
      <c r="H34" s="105">
        <f t="shared" si="0"/>
        <v>0</v>
      </c>
      <c r="I34" s="107">
        <f>'كـشـف حضور يومي'!FU8</f>
        <v>0</v>
      </c>
    </row>
    <row r="35" spans="1:9" ht="21.95" customHeight="1" x14ac:dyDescent="0.2">
      <c r="A35" s="145">
        <f>'كـشـف حضور يومي'!FV1</f>
        <v>1</v>
      </c>
      <c r="B35" s="146" t="str">
        <f>'كـشـف حضور يومي'!FV2</f>
        <v>السبت</v>
      </c>
      <c r="C35" s="217"/>
      <c r="D35" s="105">
        <f>'كـشـف حضور يومي'!FV8</f>
        <v>0</v>
      </c>
      <c r="E35" s="105">
        <f>'كـشـف حضور يومي'!FW8</f>
        <v>0</v>
      </c>
      <c r="F35" s="106">
        <f>H35-مراجع!$B$2</f>
        <v>-0.33333333333333331</v>
      </c>
      <c r="G35" s="106">
        <f>مراجع!$B$2-H35</f>
        <v>0.33333333333333331</v>
      </c>
      <c r="H35" s="105">
        <f t="shared" si="0"/>
        <v>0</v>
      </c>
      <c r="I35" s="107">
        <f>'كـشـف حضور يومي'!GA8</f>
        <v>0</v>
      </c>
    </row>
    <row r="36" spans="1:9" ht="21.95" customHeight="1" x14ac:dyDescent="0.2">
      <c r="A36" s="145">
        <f>'كـشـف حضور يومي'!GB1</f>
        <v>1</v>
      </c>
      <c r="B36" s="146" t="str">
        <f>'كـشـف حضور يومي'!GB2</f>
        <v>السبت</v>
      </c>
      <c r="C36" s="217"/>
      <c r="D36" s="105">
        <f>'كـشـف حضور يومي'!GB8</f>
        <v>0</v>
      </c>
      <c r="E36" s="105">
        <f>'كـشـف حضور يومي'!GC8</f>
        <v>0</v>
      </c>
      <c r="F36" s="106">
        <f>H36-مراجع!$B$2</f>
        <v>-0.33333333333333331</v>
      </c>
      <c r="G36" s="106">
        <f>مراجع!$B$2-H36</f>
        <v>0.33333333333333331</v>
      </c>
      <c r="H36" s="105">
        <f t="shared" si="0"/>
        <v>0</v>
      </c>
      <c r="I36" s="107">
        <f>'كـشـف حضور يومي'!GG8</f>
        <v>0</v>
      </c>
    </row>
    <row r="37" spans="1:9" ht="21.95" customHeight="1" x14ac:dyDescent="0.2">
      <c r="A37" s="216" t="s">
        <v>64</v>
      </c>
      <c r="B37" s="216"/>
      <c r="C37" s="216"/>
      <c r="D37" s="216"/>
      <c r="E37" s="216"/>
      <c r="F37" s="220">
        <f>SUM(H6:H36)</f>
        <v>0</v>
      </c>
      <c r="G37" s="220"/>
      <c r="H37" s="220"/>
      <c r="I37" s="220"/>
    </row>
    <row r="38" spans="1:9" ht="21.95" customHeight="1" x14ac:dyDescent="0.2">
      <c r="A38" s="215" t="s">
        <v>59</v>
      </c>
      <c r="B38" s="215"/>
      <c r="C38" s="215"/>
      <c r="D38" s="215"/>
      <c r="E38" s="215"/>
      <c r="F38" s="221">
        <f>F37*I2*24</f>
        <v>0</v>
      </c>
      <c r="G38" s="221"/>
      <c r="H38" s="221"/>
      <c r="I38" s="221"/>
    </row>
  </sheetData>
  <sheetProtection algorithmName="SHA-512" hashValue="Gl6EwYZYDVIVje5zbJuKMXy894Q9Tkg3yVWyctZnzSoreO5YicnbesPCR/G/B2mBLXsPFelmhGpbosl62ZiAbQ==" saltValue="CGP6L8s3WxOX/7YN0ud+4Q==" spinCount="100000" sheet="1" objects="1" scenarios="1"/>
  <mergeCells count="14">
    <mergeCell ref="A37:E37"/>
    <mergeCell ref="F37:I37"/>
    <mergeCell ref="A38:E38"/>
    <mergeCell ref="F38:I38"/>
    <mergeCell ref="A3:I3"/>
    <mergeCell ref="A4:B4"/>
    <mergeCell ref="H4:I4"/>
    <mergeCell ref="C4:E4"/>
    <mergeCell ref="C5:C36"/>
    <mergeCell ref="A1:B1"/>
    <mergeCell ref="D1:F2"/>
    <mergeCell ref="G1:H1"/>
    <mergeCell ref="A2:B2"/>
    <mergeCell ref="G2:H2"/>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7C556C65-EFF6-43E1-B525-8414A4304765}">
          <x14:formula1>
            <xm:f>مراجع!$B$4:$B$15</xm:f>
          </x14:formula1>
          <xm:sqref>C4:E4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38"/>
  <sheetViews>
    <sheetView rightToLeft="1" zoomScaleNormal="100" workbookViewId="0">
      <pane ySplit="5" topLeftCell="A6" activePane="bottomLeft" state="frozen"/>
      <selection pane="bottomLeft" activeCell="G1" sqref="G1:I2"/>
    </sheetView>
  </sheetViews>
  <sheetFormatPr defaultColWidth="9.125" defaultRowHeight="21.95" customHeight="1" x14ac:dyDescent="0.2"/>
  <cols>
    <col min="1" max="9" width="12.75" style="86" customWidth="1"/>
    <col min="10" max="10" width="79.125" style="86" customWidth="1"/>
    <col min="11" max="11" width="4.625" style="85" bestFit="1" customWidth="1"/>
    <col min="12" max="12" width="9.125" style="85" bestFit="1" customWidth="1"/>
    <col min="13" max="13" width="6.375" style="85" bestFit="1" customWidth="1"/>
    <col min="14" max="14" width="10.125" style="85" bestFit="1" customWidth="1"/>
    <col min="15" max="15" width="7.875" style="85" bestFit="1" customWidth="1"/>
    <col min="16" max="16" width="9.125" style="85" bestFit="1" customWidth="1"/>
    <col min="17" max="17" width="9.75" style="85" bestFit="1" customWidth="1"/>
    <col min="18" max="18" width="9" style="85" bestFit="1" customWidth="1"/>
    <col min="19" max="20" width="6.625" style="85" bestFit="1" customWidth="1"/>
    <col min="21" max="21" width="10.125" style="85" bestFit="1" customWidth="1"/>
    <col min="22" max="16384" width="9.125" style="85"/>
  </cols>
  <sheetData>
    <row r="1" spans="1:24" ht="21.95" customHeight="1" x14ac:dyDescent="0.2">
      <c r="A1" s="208" t="s">
        <v>43</v>
      </c>
      <c r="B1" s="208"/>
      <c r="C1" s="96" t="s">
        <v>82</v>
      </c>
      <c r="D1" s="209"/>
      <c r="E1" s="209"/>
      <c r="F1" s="209"/>
      <c r="G1" s="208" t="s">
        <v>21</v>
      </c>
      <c r="H1" s="208"/>
      <c r="I1" s="97" t="s">
        <v>82</v>
      </c>
      <c r="J1"/>
      <c r="K1"/>
      <c r="N1" s="89"/>
      <c r="O1" s="89"/>
      <c r="P1" s="89"/>
      <c r="Q1" s="89"/>
      <c r="R1" s="89"/>
      <c r="S1" s="89"/>
      <c r="T1" s="89"/>
      <c r="U1" s="89"/>
      <c r="V1" s="89"/>
      <c r="W1" s="89"/>
      <c r="X1" s="89"/>
    </row>
    <row r="2" spans="1:24" ht="21.95" customHeight="1" x14ac:dyDescent="0.2">
      <c r="A2" s="207" t="s">
        <v>52</v>
      </c>
      <c r="B2" s="207"/>
      <c r="C2" s="98" t="s">
        <v>82</v>
      </c>
      <c r="D2" s="209"/>
      <c r="E2" s="209"/>
      <c r="F2" s="209"/>
      <c r="G2" s="207" t="s">
        <v>53</v>
      </c>
      <c r="H2" s="207"/>
      <c r="I2" s="99">
        <v>15</v>
      </c>
      <c r="J2"/>
      <c r="K2"/>
      <c r="L2" s="118"/>
      <c r="O2" s="87"/>
      <c r="P2" s="88"/>
      <c r="Q2" s="88"/>
      <c r="R2" s="88"/>
      <c r="S2" s="88"/>
      <c r="T2" s="88"/>
      <c r="U2" s="88"/>
      <c r="V2" s="88"/>
      <c r="W2" s="88"/>
      <c r="X2" s="88"/>
    </row>
    <row r="3" spans="1:24" ht="21.95" customHeight="1" x14ac:dyDescent="0.2">
      <c r="A3" s="223" t="s">
        <v>35</v>
      </c>
      <c r="B3" s="223"/>
      <c r="C3" s="223"/>
      <c r="D3" s="223"/>
      <c r="E3" s="223"/>
      <c r="F3" s="223"/>
      <c r="G3" s="223"/>
      <c r="H3" s="223"/>
      <c r="I3" s="223"/>
      <c r="J3" s="92"/>
      <c r="K3" s="86"/>
      <c r="L3" s="86"/>
      <c r="M3" s="86"/>
      <c r="N3" s="86"/>
      <c r="O3" s="86"/>
      <c r="P3" s="86"/>
      <c r="Q3" s="90"/>
      <c r="R3" s="90"/>
      <c r="S3" s="90"/>
      <c r="T3" s="90"/>
    </row>
    <row r="4" spans="1:24" ht="21.95" customHeight="1" x14ac:dyDescent="0.2">
      <c r="A4" s="213" t="s">
        <v>4</v>
      </c>
      <c r="B4" s="213"/>
      <c r="C4" s="213" t="s">
        <v>42</v>
      </c>
      <c r="D4" s="213"/>
      <c r="E4" s="213"/>
      <c r="F4" s="144" t="s">
        <v>54</v>
      </c>
      <c r="G4" s="144"/>
      <c r="H4" s="214" t="s">
        <v>82</v>
      </c>
      <c r="I4" s="214"/>
      <c r="J4" s="92"/>
      <c r="K4" s="86"/>
      <c r="L4" s="86"/>
      <c r="M4" s="86"/>
      <c r="N4" s="86"/>
      <c r="O4" s="86"/>
      <c r="P4" s="86"/>
      <c r="Q4" s="90"/>
      <c r="R4" s="90"/>
      <c r="S4" s="90"/>
      <c r="T4" s="90"/>
    </row>
    <row r="5" spans="1:24" ht="21.95" customHeight="1" x14ac:dyDescent="0.2">
      <c r="A5" s="100" t="s">
        <v>56</v>
      </c>
      <c r="B5" s="100" t="s">
        <v>55</v>
      </c>
      <c r="C5" s="217"/>
      <c r="D5" s="102" t="s">
        <v>23</v>
      </c>
      <c r="E5" s="102" t="s">
        <v>24</v>
      </c>
      <c r="F5" s="103" t="s">
        <v>57</v>
      </c>
      <c r="G5" s="104" t="s">
        <v>58</v>
      </c>
      <c r="H5" s="102" t="s">
        <v>17</v>
      </c>
      <c r="I5" s="102" t="s">
        <v>25</v>
      </c>
      <c r="J5" s="93"/>
    </row>
    <row r="6" spans="1:24" ht="21.95" customHeight="1" x14ac:dyDescent="0.2">
      <c r="A6" s="145">
        <f>'كـشـف حضور يومي'!D1</f>
        <v>1</v>
      </c>
      <c r="B6" s="146" t="str">
        <f>'كـشـف حضور يومي'!D2</f>
        <v>السبت</v>
      </c>
      <c r="C6" s="217"/>
      <c r="D6" s="105">
        <f>'كـشـف حضور يومي'!D9</f>
        <v>0</v>
      </c>
      <c r="E6" s="105">
        <f>'كـشـف حضور يومي'!E9</f>
        <v>0</v>
      </c>
      <c r="F6" s="106">
        <f>H6-مراجع!$B$2</f>
        <v>-0.33333333333333331</v>
      </c>
      <c r="G6" s="106">
        <f>مراجع!$B$2-H6</f>
        <v>0.33333333333333331</v>
      </c>
      <c r="H6" s="105">
        <f>SUM(E6-D6)</f>
        <v>0</v>
      </c>
      <c r="I6" s="107">
        <f>'كـشـف حضور يومي'!I9</f>
        <v>0</v>
      </c>
      <c r="J6" s="94"/>
    </row>
    <row r="7" spans="1:24" ht="21.95" customHeight="1" x14ac:dyDescent="0.2">
      <c r="A7" s="145">
        <f>'كـشـف حضور يومي'!J1</f>
        <v>1</v>
      </c>
      <c r="B7" s="146" t="str">
        <f>'كـشـف حضور يومي'!J2</f>
        <v>السبت</v>
      </c>
      <c r="C7" s="217"/>
      <c r="D7" s="105">
        <f>'كـشـف حضور يومي'!J9</f>
        <v>0</v>
      </c>
      <c r="E7" s="105">
        <f>'كـشـف حضور يومي'!K9</f>
        <v>0</v>
      </c>
      <c r="F7" s="106">
        <f>H7-مراجع!$B$2</f>
        <v>-0.33333333333333331</v>
      </c>
      <c r="G7" s="106">
        <f>مراجع!$B$2-H7</f>
        <v>0.33333333333333331</v>
      </c>
      <c r="H7" s="105">
        <f>SUM(E7-D7)</f>
        <v>0</v>
      </c>
      <c r="I7" s="107">
        <f>'كـشـف حضور يومي'!O9</f>
        <v>0</v>
      </c>
      <c r="J7" s="94"/>
    </row>
    <row r="8" spans="1:24" ht="21.95" customHeight="1" x14ac:dyDescent="0.2">
      <c r="A8" s="145">
        <f>'كـشـف حضور يومي'!P1</f>
        <v>1</v>
      </c>
      <c r="B8" s="146" t="str">
        <f>'كـشـف حضور يومي'!P2</f>
        <v>السبت</v>
      </c>
      <c r="C8" s="217"/>
      <c r="D8" s="105">
        <f>'كـشـف حضور يومي'!P9</f>
        <v>0</v>
      </c>
      <c r="E8" s="105">
        <f>'كـشـف حضور يومي'!Q9</f>
        <v>0</v>
      </c>
      <c r="F8" s="106">
        <f>H8-مراجع!$B$2</f>
        <v>-0.33333333333333331</v>
      </c>
      <c r="G8" s="106">
        <f>مراجع!$B$2-H8</f>
        <v>0.33333333333333331</v>
      </c>
      <c r="H8" s="105">
        <f t="shared" ref="H8:H36" si="0">SUM(E8-D8)</f>
        <v>0</v>
      </c>
      <c r="I8" s="107">
        <f>'كـشـف حضور يومي'!U9</f>
        <v>0</v>
      </c>
      <c r="J8" s="94"/>
    </row>
    <row r="9" spans="1:24" ht="21.95" customHeight="1" x14ac:dyDescent="0.2">
      <c r="A9" s="145">
        <f>'كـشـف حضور يومي'!V1</f>
        <v>1</v>
      </c>
      <c r="B9" s="147" t="str">
        <f>'كـشـف حضور يومي'!V2</f>
        <v>السبت</v>
      </c>
      <c r="C9" s="217"/>
      <c r="D9" s="105">
        <f>'كـشـف حضور يومي'!V9</f>
        <v>0</v>
      </c>
      <c r="E9" s="105">
        <f>'كـشـف حضور يومي'!W9</f>
        <v>0</v>
      </c>
      <c r="F9" s="106">
        <f>H9-مراجع!$B$2</f>
        <v>-0.33333333333333331</v>
      </c>
      <c r="G9" s="106">
        <f>مراجع!$B$2-H9</f>
        <v>0.33333333333333331</v>
      </c>
      <c r="H9" s="105">
        <f t="shared" si="0"/>
        <v>0</v>
      </c>
      <c r="I9" s="107">
        <f>'كـشـف حضور يومي'!AA9</f>
        <v>0</v>
      </c>
      <c r="J9" s="94"/>
    </row>
    <row r="10" spans="1:24" ht="21.95" customHeight="1" x14ac:dyDescent="0.2">
      <c r="A10" s="145">
        <f>'كـشـف حضور يومي'!AB1</f>
        <v>1</v>
      </c>
      <c r="B10" s="146" t="str">
        <f>'كـشـف حضور يومي'!AB2</f>
        <v>السبت</v>
      </c>
      <c r="C10" s="217"/>
      <c r="D10" s="105">
        <f>'كـشـف حضور يومي'!AB9</f>
        <v>0</v>
      </c>
      <c r="E10" s="105">
        <f>'كـشـف حضور يومي'!AC9</f>
        <v>0</v>
      </c>
      <c r="F10" s="106">
        <f>H10-مراجع!$B$2</f>
        <v>-0.33333333333333331</v>
      </c>
      <c r="G10" s="106">
        <f>مراجع!$B$2-H10</f>
        <v>0.33333333333333331</v>
      </c>
      <c r="H10" s="105">
        <f t="shared" si="0"/>
        <v>0</v>
      </c>
      <c r="I10" s="107">
        <f>'كـشـف حضور يومي'!AG9</f>
        <v>0</v>
      </c>
      <c r="J10" s="94"/>
    </row>
    <row r="11" spans="1:24" ht="21.95" customHeight="1" x14ac:dyDescent="0.2">
      <c r="A11" s="145">
        <f>'كـشـف حضور يومي'!AH1</f>
        <v>1</v>
      </c>
      <c r="B11" s="146" t="str">
        <f>'كـشـف حضور يومي'!AH2</f>
        <v>السبت</v>
      </c>
      <c r="C11" s="217"/>
      <c r="D11" s="105">
        <f>'كـشـف حضور يومي'!AH9</f>
        <v>0</v>
      </c>
      <c r="E11" s="105">
        <f>'كـشـف حضور يومي'!AI9</f>
        <v>0</v>
      </c>
      <c r="F11" s="106">
        <f>H11-مراجع!$B$2</f>
        <v>-0.33333333333333331</v>
      </c>
      <c r="G11" s="106">
        <f>مراجع!$B$2-H11</f>
        <v>0.33333333333333331</v>
      </c>
      <c r="H11" s="105">
        <f t="shared" si="0"/>
        <v>0</v>
      </c>
      <c r="I11" s="107">
        <f>'كـشـف حضور يومي'!AM9</f>
        <v>0</v>
      </c>
      <c r="J11" s="94"/>
    </row>
    <row r="12" spans="1:24" ht="21.95" customHeight="1" x14ac:dyDescent="0.2">
      <c r="A12" s="145">
        <f>'كـشـف حضور يومي'!AN1</f>
        <v>1</v>
      </c>
      <c r="B12" s="146" t="str">
        <f>'كـشـف حضور يومي'!AN2</f>
        <v>السبت</v>
      </c>
      <c r="C12" s="217"/>
      <c r="D12" s="105">
        <f>'كـشـف حضور يومي'!AN9</f>
        <v>0</v>
      </c>
      <c r="E12" s="105">
        <f>'كـشـف حضور يومي'!AO9</f>
        <v>0</v>
      </c>
      <c r="F12" s="106">
        <f>H12-مراجع!$B$2</f>
        <v>-0.33333333333333331</v>
      </c>
      <c r="G12" s="106">
        <f>مراجع!$B$2-H12</f>
        <v>0.33333333333333331</v>
      </c>
      <c r="H12" s="105">
        <f t="shared" si="0"/>
        <v>0</v>
      </c>
      <c r="I12" s="107">
        <f>'كـشـف حضور يومي'!AS9</f>
        <v>0</v>
      </c>
      <c r="J12" s="94"/>
    </row>
    <row r="13" spans="1:24" ht="21.95" customHeight="1" x14ac:dyDescent="0.2">
      <c r="A13" s="145">
        <f>'كـشـف حضور يومي'!AT1</f>
        <v>1</v>
      </c>
      <c r="B13" s="146" t="str">
        <f>'كـشـف حضور يومي'!AT2</f>
        <v>السبت</v>
      </c>
      <c r="C13" s="217"/>
      <c r="D13" s="105">
        <f>'كـشـف حضور يومي'!AT9</f>
        <v>0</v>
      </c>
      <c r="E13" s="105">
        <f>'كـشـف حضور يومي'!AU9</f>
        <v>0</v>
      </c>
      <c r="F13" s="106">
        <f>H13-مراجع!$B$2</f>
        <v>-0.33333333333333331</v>
      </c>
      <c r="G13" s="106">
        <f>مراجع!$B$2-H13</f>
        <v>0.33333333333333331</v>
      </c>
      <c r="H13" s="105">
        <f t="shared" si="0"/>
        <v>0</v>
      </c>
      <c r="I13" s="107">
        <f>'كـشـف حضور يومي'!AY9</f>
        <v>0</v>
      </c>
      <c r="J13" s="94"/>
    </row>
    <row r="14" spans="1:24" ht="21.95" customHeight="1" x14ac:dyDescent="0.2">
      <c r="A14" s="145">
        <f>'كـشـف حضور يومي'!AZ1</f>
        <v>1</v>
      </c>
      <c r="B14" s="146" t="str">
        <f>'كـشـف حضور يومي'!AZ2</f>
        <v>السبت</v>
      </c>
      <c r="C14" s="217"/>
      <c r="D14" s="105">
        <f>'كـشـف حضور يومي'!AZ9</f>
        <v>0</v>
      </c>
      <c r="E14" s="105">
        <f>'كـشـف حضور يومي'!BA9</f>
        <v>0</v>
      </c>
      <c r="F14" s="106">
        <f>H14-مراجع!$B$2</f>
        <v>-0.33333333333333331</v>
      </c>
      <c r="G14" s="106">
        <f>مراجع!$B$2-H14</f>
        <v>0.33333333333333331</v>
      </c>
      <c r="H14" s="105">
        <f t="shared" si="0"/>
        <v>0</v>
      </c>
      <c r="I14" s="107">
        <f>'كـشـف حضور يومي'!BE9</f>
        <v>0</v>
      </c>
      <c r="J14" s="94"/>
    </row>
    <row r="15" spans="1:24" ht="21.95" customHeight="1" x14ac:dyDescent="0.2">
      <c r="A15" s="145">
        <f>'كـشـف حضور يومي'!BF1</f>
        <v>1</v>
      </c>
      <c r="B15" s="146" t="str">
        <f>'كـشـف حضور يومي'!BF2</f>
        <v>السبت</v>
      </c>
      <c r="C15" s="217"/>
      <c r="D15" s="105">
        <f>'كـشـف حضور يومي'!BF9</f>
        <v>0</v>
      </c>
      <c r="E15" s="105">
        <f>'كـشـف حضور يومي'!BG9</f>
        <v>0</v>
      </c>
      <c r="F15" s="106">
        <f>H15-مراجع!$B$2</f>
        <v>-0.33333333333333331</v>
      </c>
      <c r="G15" s="106">
        <f>مراجع!$B$2-H15</f>
        <v>0.33333333333333331</v>
      </c>
      <c r="H15" s="105">
        <f t="shared" si="0"/>
        <v>0</v>
      </c>
      <c r="I15" s="107">
        <f>'كـشـف حضور يومي'!BK9</f>
        <v>0</v>
      </c>
      <c r="J15" s="94"/>
    </row>
    <row r="16" spans="1:24" ht="21.95" customHeight="1" x14ac:dyDescent="0.2">
      <c r="A16" s="145">
        <f>'كـشـف حضور يومي'!BL1</f>
        <v>1</v>
      </c>
      <c r="B16" s="146" t="str">
        <f>'كـشـف حضور يومي'!BL2</f>
        <v>السبت</v>
      </c>
      <c r="C16" s="217"/>
      <c r="D16" s="105">
        <f>'كـشـف حضور يومي'!BL9</f>
        <v>0</v>
      </c>
      <c r="E16" s="105">
        <f>'كـشـف حضور يومي'!BM9</f>
        <v>0</v>
      </c>
      <c r="F16" s="106">
        <f>H16-مراجع!$B$2</f>
        <v>-0.33333333333333331</v>
      </c>
      <c r="G16" s="106">
        <f>مراجع!$B$2-H16</f>
        <v>0.33333333333333331</v>
      </c>
      <c r="H16" s="105">
        <f t="shared" si="0"/>
        <v>0</v>
      </c>
      <c r="I16" s="107">
        <f>'كـشـف حضور يومي'!BQ9</f>
        <v>0</v>
      </c>
      <c r="J16" s="94"/>
    </row>
    <row r="17" spans="1:15" ht="21.95" customHeight="1" x14ac:dyDescent="0.2">
      <c r="A17" s="145">
        <f>'كـشـف حضور يومي'!BR1</f>
        <v>1</v>
      </c>
      <c r="B17" s="146" t="str">
        <f>'كـشـف حضور يومي'!BR2</f>
        <v>السبت</v>
      </c>
      <c r="C17" s="217"/>
      <c r="D17" s="105">
        <f>'كـشـف حضور يومي'!BR9</f>
        <v>0</v>
      </c>
      <c r="E17" s="105">
        <f>'كـشـف حضور يومي'!BS9</f>
        <v>0</v>
      </c>
      <c r="F17" s="106">
        <f>H17-مراجع!$B$2</f>
        <v>-0.33333333333333331</v>
      </c>
      <c r="G17" s="106">
        <f>مراجع!$B$2-H17</f>
        <v>0.33333333333333331</v>
      </c>
      <c r="H17" s="105">
        <f t="shared" si="0"/>
        <v>0</v>
      </c>
      <c r="I17" s="107">
        <f>'كـشـف حضور يومي'!BW9</f>
        <v>0</v>
      </c>
      <c r="J17" s="94"/>
    </row>
    <row r="18" spans="1:15" ht="21.95" customHeight="1" x14ac:dyDescent="0.2">
      <c r="A18" s="145">
        <f>'كـشـف حضور يومي'!BX1</f>
        <v>1</v>
      </c>
      <c r="B18" s="146" t="str">
        <f>'كـشـف حضور يومي'!BX2</f>
        <v>السبت</v>
      </c>
      <c r="C18" s="217"/>
      <c r="D18" s="105">
        <f>'كـشـف حضور يومي'!BX9</f>
        <v>0</v>
      </c>
      <c r="E18" s="105">
        <f>'كـشـف حضور يومي'!BY9</f>
        <v>0</v>
      </c>
      <c r="F18" s="106">
        <f>H18-مراجع!$B$2</f>
        <v>-0.33333333333333331</v>
      </c>
      <c r="G18" s="106">
        <f>مراجع!$B$2-H18</f>
        <v>0.33333333333333331</v>
      </c>
      <c r="H18" s="105">
        <f t="shared" si="0"/>
        <v>0</v>
      </c>
      <c r="I18" s="107">
        <f>'كـشـف حضور يومي'!CC9</f>
        <v>0</v>
      </c>
    </row>
    <row r="19" spans="1:15" ht="21.95" customHeight="1" x14ac:dyDescent="0.2">
      <c r="A19" s="145">
        <f>'كـشـف حضور يومي'!CD1</f>
        <v>1</v>
      </c>
      <c r="B19" s="146" t="str">
        <f>'كـشـف حضور يومي'!CD2</f>
        <v>السبت</v>
      </c>
      <c r="C19" s="217"/>
      <c r="D19" s="105">
        <f>'كـشـف حضور يومي'!CD9</f>
        <v>0</v>
      </c>
      <c r="E19" s="105">
        <f>'كـشـف حضور يومي'!CE9</f>
        <v>0</v>
      </c>
      <c r="F19" s="106">
        <f>H19-مراجع!$B$2</f>
        <v>-0.33333333333333331</v>
      </c>
      <c r="G19" s="106">
        <f>مراجع!$B$2-H19</f>
        <v>0.33333333333333331</v>
      </c>
      <c r="H19" s="105">
        <f t="shared" si="0"/>
        <v>0</v>
      </c>
      <c r="I19" s="107">
        <f>'كـشـف حضور يومي'!CI9</f>
        <v>0</v>
      </c>
    </row>
    <row r="20" spans="1:15" ht="21.95" customHeight="1" x14ac:dyDescent="0.2">
      <c r="A20" s="145">
        <f>'كـشـف حضور يومي'!CJ1</f>
        <v>1</v>
      </c>
      <c r="B20" s="146" t="str">
        <f>'كـشـف حضور يومي'!CJ2</f>
        <v>السبت</v>
      </c>
      <c r="C20" s="217"/>
      <c r="D20" s="105">
        <f>'كـشـف حضور يومي'!CJ9</f>
        <v>0</v>
      </c>
      <c r="E20" s="105">
        <f>'كـشـف حضور يومي'!CK9</f>
        <v>0</v>
      </c>
      <c r="F20" s="106">
        <f>H20-مراجع!$B$2</f>
        <v>-0.33333333333333331</v>
      </c>
      <c r="G20" s="106">
        <f>مراجع!$B$2-H20</f>
        <v>0.33333333333333331</v>
      </c>
      <c r="H20" s="105">
        <f t="shared" si="0"/>
        <v>0</v>
      </c>
      <c r="I20" s="107">
        <f>'كـشـف حضور يومي'!CO9</f>
        <v>0</v>
      </c>
      <c r="O20" s="91"/>
    </row>
    <row r="21" spans="1:15" ht="21.95" customHeight="1" x14ac:dyDescent="0.2">
      <c r="A21" s="145">
        <f>'كـشـف حضور يومي'!CP1</f>
        <v>1</v>
      </c>
      <c r="B21" s="146" t="str">
        <f>'كـشـف حضور يومي'!CP2</f>
        <v>السبت</v>
      </c>
      <c r="C21" s="217"/>
      <c r="D21" s="105">
        <f>'كـشـف حضور يومي'!CP9</f>
        <v>0</v>
      </c>
      <c r="E21" s="105">
        <f>'كـشـف حضور يومي'!CQ9</f>
        <v>0</v>
      </c>
      <c r="F21" s="106">
        <f>H21-مراجع!$B$2</f>
        <v>-0.33333333333333331</v>
      </c>
      <c r="G21" s="106">
        <f>مراجع!$B$2-H21</f>
        <v>0.33333333333333331</v>
      </c>
      <c r="H21" s="105">
        <f t="shared" si="0"/>
        <v>0</v>
      </c>
      <c r="I21" s="107">
        <f>'كـشـف حضور يومي'!CU9</f>
        <v>0</v>
      </c>
    </row>
    <row r="22" spans="1:15" ht="21.95" customHeight="1" x14ac:dyDescent="0.2">
      <c r="A22" s="145">
        <f>'كـشـف حضور يومي'!CV1</f>
        <v>1</v>
      </c>
      <c r="B22" s="146" t="str">
        <f>'كـشـف حضور يومي'!CV2</f>
        <v>السبت</v>
      </c>
      <c r="C22" s="217"/>
      <c r="D22" s="105">
        <f>'كـشـف حضور يومي'!CV9</f>
        <v>0</v>
      </c>
      <c r="E22" s="105">
        <f>'كـشـف حضور يومي'!CW9</f>
        <v>0</v>
      </c>
      <c r="F22" s="106">
        <f>H22-مراجع!$B$2</f>
        <v>-0.33333333333333331</v>
      </c>
      <c r="G22" s="106">
        <f>مراجع!$B$2-H22</f>
        <v>0.33333333333333331</v>
      </c>
      <c r="H22" s="105">
        <f t="shared" si="0"/>
        <v>0</v>
      </c>
      <c r="I22" s="107">
        <f>'كـشـف حضور يومي'!DA9</f>
        <v>0</v>
      </c>
    </row>
    <row r="23" spans="1:15" ht="21.95" customHeight="1" x14ac:dyDescent="0.2">
      <c r="A23" s="145">
        <f>'كـشـف حضور يومي'!DB1</f>
        <v>1</v>
      </c>
      <c r="B23" s="146" t="str">
        <f>'كـشـف حضور يومي'!DB2</f>
        <v>السبت</v>
      </c>
      <c r="C23" s="217"/>
      <c r="D23" s="105">
        <f>'كـشـف حضور يومي'!DB9</f>
        <v>0</v>
      </c>
      <c r="E23" s="105">
        <f>'كـشـف حضور يومي'!DC9</f>
        <v>0</v>
      </c>
      <c r="F23" s="106">
        <f>H23-مراجع!$B$2</f>
        <v>-0.33333333333333331</v>
      </c>
      <c r="G23" s="106">
        <f>مراجع!$B$2-H23</f>
        <v>0.33333333333333331</v>
      </c>
      <c r="H23" s="105">
        <f t="shared" si="0"/>
        <v>0</v>
      </c>
      <c r="I23" s="107">
        <f>'كـشـف حضور يومي'!DG9</f>
        <v>0</v>
      </c>
    </row>
    <row r="24" spans="1:15" ht="21.95" customHeight="1" x14ac:dyDescent="0.2">
      <c r="A24" s="145">
        <f>'كـشـف حضور يومي'!DH1</f>
        <v>1</v>
      </c>
      <c r="B24" s="146" t="str">
        <f>'كـشـف حضور يومي'!DH2</f>
        <v>السبت</v>
      </c>
      <c r="C24" s="217"/>
      <c r="D24" s="105">
        <f>'كـشـف حضور يومي'!DH9</f>
        <v>0</v>
      </c>
      <c r="E24" s="105">
        <f>'كـشـف حضور يومي'!DI9</f>
        <v>0</v>
      </c>
      <c r="F24" s="106">
        <f>H24-مراجع!$B$2</f>
        <v>-0.33333333333333331</v>
      </c>
      <c r="G24" s="106">
        <f>مراجع!$B$2-H24</f>
        <v>0.33333333333333331</v>
      </c>
      <c r="H24" s="105">
        <f t="shared" si="0"/>
        <v>0</v>
      </c>
      <c r="I24" s="107">
        <f>'كـشـف حضور يومي'!DM9</f>
        <v>0</v>
      </c>
    </row>
    <row r="25" spans="1:15" ht="21.95" customHeight="1" x14ac:dyDescent="0.2">
      <c r="A25" s="145">
        <f>'كـشـف حضور يومي'!DN1</f>
        <v>1</v>
      </c>
      <c r="B25" s="146" t="str">
        <f>'كـشـف حضور يومي'!DN2</f>
        <v>السبت</v>
      </c>
      <c r="C25" s="217"/>
      <c r="D25" s="105">
        <f>'كـشـف حضور يومي'!DN9</f>
        <v>0</v>
      </c>
      <c r="E25" s="105">
        <f>'كـشـف حضور يومي'!DO9</f>
        <v>0</v>
      </c>
      <c r="F25" s="106">
        <f>H25-مراجع!$B$2</f>
        <v>-0.33333333333333331</v>
      </c>
      <c r="G25" s="106">
        <f>مراجع!$B$2-H25</f>
        <v>0.33333333333333331</v>
      </c>
      <c r="H25" s="105">
        <f t="shared" si="0"/>
        <v>0</v>
      </c>
      <c r="I25" s="107">
        <f>'كـشـف حضور يومي'!DS9</f>
        <v>0</v>
      </c>
    </row>
    <row r="26" spans="1:15" ht="21.95" customHeight="1" x14ac:dyDescent="0.2">
      <c r="A26" s="145">
        <f>'كـشـف حضور يومي'!DT1</f>
        <v>1</v>
      </c>
      <c r="B26" s="146" t="str">
        <f>'كـشـف حضور يومي'!DT2</f>
        <v>السبت</v>
      </c>
      <c r="C26" s="217"/>
      <c r="D26" s="105">
        <f>'كـشـف حضور يومي'!DT9</f>
        <v>0</v>
      </c>
      <c r="E26" s="105">
        <f>'كـشـف حضور يومي'!DU9</f>
        <v>0</v>
      </c>
      <c r="F26" s="106">
        <f>H26-مراجع!$B$2</f>
        <v>-0.33333333333333331</v>
      </c>
      <c r="G26" s="106">
        <f>مراجع!$B$2-H26</f>
        <v>0.33333333333333331</v>
      </c>
      <c r="H26" s="105">
        <f t="shared" si="0"/>
        <v>0</v>
      </c>
      <c r="I26" s="107">
        <f>'كـشـف حضور يومي'!DY9</f>
        <v>0</v>
      </c>
    </row>
    <row r="27" spans="1:15" ht="21.95" customHeight="1" x14ac:dyDescent="0.2">
      <c r="A27" s="145">
        <f>'كـشـف حضور يومي'!DZ1</f>
        <v>1</v>
      </c>
      <c r="B27" s="146" t="str">
        <f>'كـشـف حضور يومي'!DZ2</f>
        <v>السبت</v>
      </c>
      <c r="C27" s="217"/>
      <c r="D27" s="105">
        <f>'كـشـف حضور يومي'!DZ9</f>
        <v>0</v>
      </c>
      <c r="E27" s="105">
        <f>'كـشـف حضور يومي'!EA9</f>
        <v>0</v>
      </c>
      <c r="F27" s="106">
        <f>H27-مراجع!$B$2</f>
        <v>-0.33333333333333331</v>
      </c>
      <c r="G27" s="106">
        <f>مراجع!$B$2-H27</f>
        <v>0.33333333333333331</v>
      </c>
      <c r="H27" s="105">
        <f t="shared" si="0"/>
        <v>0</v>
      </c>
      <c r="I27" s="107">
        <f>'كـشـف حضور يومي'!EE9</f>
        <v>0</v>
      </c>
    </row>
    <row r="28" spans="1:15" ht="21.95" customHeight="1" x14ac:dyDescent="0.2">
      <c r="A28" s="145">
        <f>'كـشـف حضور يومي'!EF1</f>
        <v>1</v>
      </c>
      <c r="B28" s="146" t="str">
        <f>'كـشـف حضور يومي'!EF2</f>
        <v>السبت</v>
      </c>
      <c r="C28" s="217"/>
      <c r="D28" s="105">
        <f>'كـشـف حضور يومي'!EF9</f>
        <v>0</v>
      </c>
      <c r="E28" s="105">
        <f>'كـشـف حضور يومي'!EG9</f>
        <v>0</v>
      </c>
      <c r="F28" s="106">
        <f>H28-مراجع!$B$2</f>
        <v>-0.33333333333333331</v>
      </c>
      <c r="G28" s="106">
        <f>مراجع!$B$2-H28</f>
        <v>0.33333333333333331</v>
      </c>
      <c r="H28" s="105">
        <f t="shared" si="0"/>
        <v>0</v>
      </c>
      <c r="I28" s="107">
        <f>'كـشـف حضور يومي'!EK9</f>
        <v>0</v>
      </c>
    </row>
    <row r="29" spans="1:15" ht="21.95" customHeight="1" x14ac:dyDescent="0.2">
      <c r="A29" s="145">
        <f>'كـشـف حضور يومي'!EL1</f>
        <v>1</v>
      </c>
      <c r="B29" s="146" t="str">
        <f>'كـشـف حضور يومي'!EL2</f>
        <v>السبت</v>
      </c>
      <c r="C29" s="217"/>
      <c r="D29" s="105">
        <f>'كـشـف حضور يومي'!EL9</f>
        <v>0</v>
      </c>
      <c r="E29" s="105">
        <f>'كـشـف حضور يومي'!EM9</f>
        <v>0</v>
      </c>
      <c r="F29" s="106">
        <f>H29-مراجع!$B$2</f>
        <v>-0.33333333333333331</v>
      </c>
      <c r="G29" s="106">
        <f>مراجع!$B$2-H29</f>
        <v>0.33333333333333331</v>
      </c>
      <c r="H29" s="105">
        <f t="shared" si="0"/>
        <v>0</v>
      </c>
      <c r="I29" s="107">
        <f>'كـشـف حضور يومي'!EQ9</f>
        <v>0</v>
      </c>
    </row>
    <row r="30" spans="1:15" ht="21.95" customHeight="1" x14ac:dyDescent="0.2">
      <c r="A30" s="145">
        <f>'كـشـف حضور يومي'!ER1</f>
        <v>1</v>
      </c>
      <c r="B30" s="146" t="str">
        <f>'كـشـف حضور يومي'!ER2</f>
        <v>السبت</v>
      </c>
      <c r="C30" s="217"/>
      <c r="D30" s="105">
        <f>'كـشـف حضور يومي'!ER9</f>
        <v>0</v>
      </c>
      <c r="E30" s="105">
        <f>'كـشـف حضور يومي'!ES9</f>
        <v>0</v>
      </c>
      <c r="F30" s="106">
        <f>H30-مراجع!$B$2</f>
        <v>-0.33333333333333331</v>
      </c>
      <c r="G30" s="106">
        <f>مراجع!$B$2-H30</f>
        <v>0.33333333333333331</v>
      </c>
      <c r="H30" s="105">
        <f t="shared" si="0"/>
        <v>0</v>
      </c>
      <c r="I30" s="107">
        <f>'كـشـف حضور يومي'!EW9</f>
        <v>0</v>
      </c>
    </row>
    <row r="31" spans="1:15" ht="21.95" customHeight="1" x14ac:dyDescent="0.2">
      <c r="A31" s="145">
        <f>'كـشـف حضور يومي'!EX1</f>
        <v>1</v>
      </c>
      <c r="B31" s="146" t="str">
        <f>'كـشـف حضور يومي'!EX2</f>
        <v>السبت</v>
      </c>
      <c r="C31" s="217"/>
      <c r="D31" s="105">
        <f>'كـشـف حضور يومي'!EX9</f>
        <v>0</v>
      </c>
      <c r="E31" s="105">
        <f>'كـشـف حضور يومي'!EY9</f>
        <v>0</v>
      </c>
      <c r="F31" s="106">
        <f>H31-مراجع!$B$2</f>
        <v>-0.33333333333333331</v>
      </c>
      <c r="G31" s="106">
        <f>مراجع!$B$2-H31</f>
        <v>0.33333333333333331</v>
      </c>
      <c r="H31" s="105">
        <f t="shared" si="0"/>
        <v>0</v>
      </c>
      <c r="I31" s="107">
        <f>'كـشـف حضور يومي'!FC9</f>
        <v>0</v>
      </c>
    </row>
    <row r="32" spans="1:15" ht="21.95" customHeight="1" x14ac:dyDescent="0.2">
      <c r="A32" s="145">
        <f>'كـشـف حضور يومي'!FD1</f>
        <v>1</v>
      </c>
      <c r="B32" s="146" t="str">
        <f>'كـشـف حضور يومي'!FD2</f>
        <v>السبت</v>
      </c>
      <c r="C32" s="217"/>
      <c r="D32" s="105">
        <f>'كـشـف حضور يومي'!FD9</f>
        <v>0</v>
      </c>
      <c r="E32" s="105">
        <f>'كـشـف حضور يومي'!FE9</f>
        <v>0</v>
      </c>
      <c r="F32" s="106">
        <f>H32-مراجع!$B$2</f>
        <v>-0.33333333333333331</v>
      </c>
      <c r="G32" s="106">
        <f>مراجع!$B$2-H32</f>
        <v>0.33333333333333331</v>
      </c>
      <c r="H32" s="105">
        <f t="shared" si="0"/>
        <v>0</v>
      </c>
      <c r="I32" s="107">
        <f>'كـشـف حضور يومي'!FI9</f>
        <v>0</v>
      </c>
    </row>
    <row r="33" spans="1:9" ht="21.95" customHeight="1" x14ac:dyDescent="0.2">
      <c r="A33" s="145">
        <f>'كـشـف حضور يومي'!FJ1</f>
        <v>1</v>
      </c>
      <c r="B33" s="146" t="str">
        <f>'كـشـف حضور يومي'!FJ2</f>
        <v>السبت</v>
      </c>
      <c r="C33" s="217"/>
      <c r="D33" s="105">
        <f>'كـشـف حضور يومي'!FJ9</f>
        <v>0</v>
      </c>
      <c r="E33" s="105">
        <f>'كـشـف حضور يومي'!FK9</f>
        <v>0</v>
      </c>
      <c r="F33" s="106">
        <f>H33-مراجع!$B$2</f>
        <v>-0.33333333333333331</v>
      </c>
      <c r="G33" s="106">
        <f>مراجع!$B$2-H33</f>
        <v>0.33333333333333331</v>
      </c>
      <c r="H33" s="105">
        <f t="shared" si="0"/>
        <v>0</v>
      </c>
      <c r="I33" s="107">
        <f>'كـشـف حضور يومي'!FO9</f>
        <v>0</v>
      </c>
    </row>
    <row r="34" spans="1:9" ht="21.95" customHeight="1" x14ac:dyDescent="0.2">
      <c r="A34" s="145">
        <f>'كـشـف حضور يومي'!FP1</f>
        <v>1</v>
      </c>
      <c r="B34" s="146" t="str">
        <f>'كـشـف حضور يومي'!FP2</f>
        <v>السبت</v>
      </c>
      <c r="C34" s="217"/>
      <c r="D34" s="105">
        <f>'كـشـف حضور يومي'!FP9</f>
        <v>0</v>
      </c>
      <c r="E34" s="105">
        <f>'كـشـف حضور يومي'!FQ9</f>
        <v>0</v>
      </c>
      <c r="F34" s="106">
        <f>H34-مراجع!$B$2</f>
        <v>-0.33333333333333331</v>
      </c>
      <c r="G34" s="106">
        <f>مراجع!$B$2-H34</f>
        <v>0.33333333333333331</v>
      </c>
      <c r="H34" s="105">
        <f t="shared" si="0"/>
        <v>0</v>
      </c>
      <c r="I34" s="107">
        <f>'كـشـف حضور يومي'!FU9</f>
        <v>0</v>
      </c>
    </row>
    <row r="35" spans="1:9" ht="21.95" customHeight="1" x14ac:dyDescent="0.2">
      <c r="A35" s="145">
        <f>'كـشـف حضور يومي'!FV1</f>
        <v>1</v>
      </c>
      <c r="B35" s="146" t="str">
        <f>'كـشـف حضور يومي'!FV2</f>
        <v>السبت</v>
      </c>
      <c r="C35" s="217"/>
      <c r="D35" s="105">
        <f>'كـشـف حضور يومي'!FV9</f>
        <v>0</v>
      </c>
      <c r="E35" s="105">
        <f>'كـشـف حضور يومي'!FW9</f>
        <v>0</v>
      </c>
      <c r="F35" s="106">
        <f>H35-مراجع!$B$2</f>
        <v>-0.33333333333333331</v>
      </c>
      <c r="G35" s="106">
        <f>مراجع!$B$2-H35</f>
        <v>0.33333333333333331</v>
      </c>
      <c r="H35" s="105">
        <f t="shared" si="0"/>
        <v>0</v>
      </c>
      <c r="I35" s="107">
        <f>'كـشـف حضور يومي'!GA9</f>
        <v>0</v>
      </c>
    </row>
    <row r="36" spans="1:9" ht="21.95" customHeight="1" x14ac:dyDescent="0.2">
      <c r="A36" s="145">
        <f>'كـشـف حضور يومي'!GB1</f>
        <v>1</v>
      </c>
      <c r="B36" s="146" t="str">
        <f>'كـشـف حضور يومي'!GB2</f>
        <v>السبت</v>
      </c>
      <c r="C36" s="217"/>
      <c r="D36" s="105">
        <f>'كـشـف حضور يومي'!GB9</f>
        <v>0</v>
      </c>
      <c r="E36" s="105">
        <f>'كـشـف حضور يومي'!GC9</f>
        <v>0</v>
      </c>
      <c r="F36" s="106">
        <f>H36-مراجع!$B$2</f>
        <v>-0.33333333333333331</v>
      </c>
      <c r="G36" s="106">
        <f>مراجع!$B$2-H36</f>
        <v>0.33333333333333331</v>
      </c>
      <c r="H36" s="105">
        <f t="shared" si="0"/>
        <v>0</v>
      </c>
      <c r="I36" s="107">
        <f>'كـشـف حضور يومي'!GG9</f>
        <v>0</v>
      </c>
    </row>
    <row r="37" spans="1:9" ht="21.95" customHeight="1" x14ac:dyDescent="0.2">
      <c r="A37" s="216" t="s">
        <v>64</v>
      </c>
      <c r="B37" s="216"/>
      <c r="C37" s="216"/>
      <c r="D37" s="216"/>
      <c r="E37" s="216"/>
      <c r="F37" s="220">
        <f>SUM(H6:H36)</f>
        <v>0</v>
      </c>
      <c r="G37" s="220"/>
      <c r="H37" s="220"/>
      <c r="I37" s="220"/>
    </row>
    <row r="38" spans="1:9" ht="21.95" customHeight="1" x14ac:dyDescent="0.2">
      <c r="A38" s="215" t="s">
        <v>59</v>
      </c>
      <c r="B38" s="215"/>
      <c r="C38" s="215"/>
      <c r="D38" s="215"/>
      <c r="E38" s="215"/>
      <c r="F38" s="221">
        <f>F37*I2*24</f>
        <v>0</v>
      </c>
      <c r="G38" s="221"/>
      <c r="H38" s="221"/>
      <c r="I38" s="221"/>
    </row>
  </sheetData>
  <sheetProtection algorithmName="SHA-512" hashValue="u0jtf4zKx0kEiXGjafO+C0wMBlaqzGi9QbCw/ANdbTMXzJva1TrJ0sIKwAtqBEwCLQ+NmpKRDcwlM6Vldt8dWg==" saltValue="TgGgiwJx0Y0XFggllCu4Lw==" spinCount="100000" sheet="1" objects="1" scenarios="1"/>
  <mergeCells count="14">
    <mergeCell ref="A37:E37"/>
    <mergeCell ref="F37:I37"/>
    <mergeCell ref="A38:E38"/>
    <mergeCell ref="F38:I38"/>
    <mergeCell ref="A3:I3"/>
    <mergeCell ref="A4:B4"/>
    <mergeCell ref="H4:I4"/>
    <mergeCell ref="C4:E4"/>
    <mergeCell ref="C5:C36"/>
    <mergeCell ref="A1:B1"/>
    <mergeCell ref="D1:F2"/>
    <mergeCell ref="G1:H1"/>
    <mergeCell ref="A2:B2"/>
    <mergeCell ref="G2:H2"/>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EACA4F9C-3951-402C-98E6-BC83C69F674D}">
          <x14:formula1>
            <xm:f>مراجع!$B$4:$B$15</xm:f>
          </x14:formula1>
          <xm:sqref>C4:E4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38"/>
  <sheetViews>
    <sheetView rightToLeft="1" zoomScaleNormal="100" workbookViewId="0">
      <pane ySplit="5" topLeftCell="A6" activePane="bottomLeft" state="frozen"/>
      <selection pane="bottomLeft" activeCell="G1" sqref="G1:I2"/>
    </sheetView>
  </sheetViews>
  <sheetFormatPr defaultColWidth="9.125" defaultRowHeight="21.95" customHeight="1" x14ac:dyDescent="0.2"/>
  <cols>
    <col min="1" max="9" width="12.75" style="86" customWidth="1"/>
    <col min="10" max="10" width="79.625" style="86" customWidth="1"/>
    <col min="11" max="11" width="4.625" style="85" bestFit="1" customWidth="1"/>
    <col min="12" max="12" width="9.125" style="85" bestFit="1" customWidth="1"/>
    <col min="13" max="13" width="6.375" style="85" bestFit="1" customWidth="1"/>
    <col min="14" max="14" width="10.125" style="85" bestFit="1" customWidth="1"/>
    <col min="15" max="15" width="7.875" style="85" bestFit="1" customWidth="1"/>
    <col min="16" max="16" width="9.125" style="85" bestFit="1" customWidth="1"/>
    <col min="17" max="17" width="9.75" style="85" bestFit="1" customWidth="1"/>
    <col min="18" max="18" width="9" style="85" bestFit="1" customWidth="1"/>
    <col min="19" max="20" width="6.625" style="85" bestFit="1" customWidth="1"/>
    <col min="21" max="21" width="10.125" style="85" bestFit="1" customWidth="1"/>
    <col min="22" max="16384" width="9.125" style="85"/>
  </cols>
  <sheetData>
    <row r="1" spans="1:24" ht="21.95" customHeight="1" x14ac:dyDescent="0.2">
      <c r="A1" s="208" t="s">
        <v>43</v>
      </c>
      <c r="B1" s="208"/>
      <c r="C1" s="96" t="s">
        <v>82</v>
      </c>
      <c r="D1" s="209"/>
      <c r="E1" s="209"/>
      <c r="F1" s="209"/>
      <c r="G1" s="208" t="s">
        <v>21</v>
      </c>
      <c r="H1" s="208"/>
      <c r="I1" s="97" t="s">
        <v>82</v>
      </c>
      <c r="J1"/>
      <c r="K1"/>
      <c r="N1" s="89"/>
      <c r="O1" s="89"/>
      <c r="P1" s="89"/>
      <c r="Q1" s="89"/>
      <c r="R1" s="89"/>
      <c r="S1" s="89"/>
      <c r="T1" s="89"/>
      <c r="U1" s="89"/>
      <c r="V1" s="89"/>
      <c r="W1" s="89"/>
      <c r="X1" s="89"/>
    </row>
    <row r="2" spans="1:24" ht="21.95" customHeight="1" x14ac:dyDescent="0.2">
      <c r="A2" s="207" t="s">
        <v>52</v>
      </c>
      <c r="B2" s="207"/>
      <c r="C2" s="98" t="s">
        <v>82</v>
      </c>
      <c r="D2" s="209"/>
      <c r="E2" s="209"/>
      <c r="F2" s="209"/>
      <c r="G2" s="207" t="s">
        <v>53</v>
      </c>
      <c r="H2" s="207"/>
      <c r="I2" s="99">
        <v>15</v>
      </c>
      <c r="J2"/>
      <c r="K2"/>
      <c r="L2" s="118"/>
      <c r="O2" s="87"/>
      <c r="P2" s="88"/>
      <c r="Q2" s="88"/>
      <c r="R2" s="88"/>
      <c r="S2" s="88"/>
      <c r="T2" s="88"/>
      <c r="U2" s="88"/>
      <c r="V2" s="88"/>
      <c r="W2" s="88"/>
      <c r="X2" s="88"/>
    </row>
    <row r="3" spans="1:24" ht="21.95" customHeight="1" x14ac:dyDescent="0.2">
      <c r="A3" s="223" t="s">
        <v>36</v>
      </c>
      <c r="B3" s="223"/>
      <c r="C3" s="223"/>
      <c r="D3" s="223"/>
      <c r="E3" s="223"/>
      <c r="F3" s="223"/>
      <c r="G3" s="223"/>
      <c r="H3" s="223"/>
      <c r="I3" s="223"/>
      <c r="J3" s="92"/>
      <c r="K3" s="86"/>
      <c r="L3" s="86"/>
      <c r="M3" s="86"/>
      <c r="N3" s="86"/>
      <c r="O3" s="86"/>
      <c r="P3" s="86"/>
      <c r="Q3" s="90"/>
      <c r="R3" s="90"/>
      <c r="S3" s="90"/>
      <c r="T3" s="90"/>
    </row>
    <row r="4" spans="1:24" ht="21.95" customHeight="1" x14ac:dyDescent="0.2">
      <c r="A4" s="213" t="s">
        <v>4</v>
      </c>
      <c r="B4" s="213"/>
      <c r="C4" s="213" t="s">
        <v>42</v>
      </c>
      <c r="D4" s="213"/>
      <c r="E4" s="213"/>
      <c r="F4" s="144" t="s">
        <v>54</v>
      </c>
      <c r="G4" s="144"/>
      <c r="H4" s="214" t="s">
        <v>82</v>
      </c>
      <c r="I4" s="214"/>
      <c r="J4" s="92"/>
      <c r="K4" s="86"/>
      <c r="L4" s="86"/>
      <c r="M4" s="86"/>
      <c r="N4" s="86"/>
      <c r="O4" s="86"/>
      <c r="P4" s="86"/>
      <c r="Q4" s="90"/>
      <c r="R4" s="90"/>
      <c r="S4" s="90"/>
      <c r="T4" s="90"/>
    </row>
    <row r="5" spans="1:24" ht="21.95" customHeight="1" x14ac:dyDescent="0.2">
      <c r="A5" s="100" t="s">
        <v>56</v>
      </c>
      <c r="B5" s="100" t="s">
        <v>55</v>
      </c>
      <c r="C5" s="217"/>
      <c r="D5" s="100" t="s">
        <v>55</v>
      </c>
      <c r="E5" s="102" t="s">
        <v>24</v>
      </c>
      <c r="F5" s="103" t="s">
        <v>57</v>
      </c>
      <c r="G5" s="104" t="s">
        <v>58</v>
      </c>
      <c r="H5" s="102" t="s">
        <v>17</v>
      </c>
      <c r="I5" s="102" t="s">
        <v>25</v>
      </c>
      <c r="J5" s="93"/>
    </row>
    <row r="6" spans="1:24" ht="21.95" customHeight="1" x14ac:dyDescent="0.2">
      <c r="A6" s="145">
        <f>'كـشـف حضور يومي'!D1</f>
        <v>1</v>
      </c>
      <c r="B6" s="146" t="str">
        <f>'كـشـف حضور يومي'!D2</f>
        <v>السبت</v>
      </c>
      <c r="C6" s="217"/>
      <c r="D6" s="105">
        <f>'كـشـف حضور يومي'!D10</f>
        <v>0</v>
      </c>
      <c r="E6" s="105">
        <f>'كـشـف حضور يومي'!E10</f>
        <v>0</v>
      </c>
      <c r="F6" s="106">
        <f>H6-مراجع!$B$2</f>
        <v>-0.33333333333333331</v>
      </c>
      <c r="G6" s="106">
        <f>مراجع!$B$2-H6</f>
        <v>0.33333333333333331</v>
      </c>
      <c r="H6" s="105">
        <f>SUM(E6-D6)</f>
        <v>0</v>
      </c>
      <c r="I6" s="107">
        <f>'كـشـف حضور يومي'!I10</f>
        <v>0</v>
      </c>
      <c r="J6" s="94"/>
    </row>
    <row r="7" spans="1:24" ht="21.95" customHeight="1" x14ac:dyDescent="0.2">
      <c r="A7" s="145">
        <f>'كـشـف حضور يومي'!J1</f>
        <v>1</v>
      </c>
      <c r="B7" s="146" t="str">
        <f>'كـشـف حضور يومي'!J2</f>
        <v>السبت</v>
      </c>
      <c r="C7" s="217"/>
      <c r="D7" s="105">
        <f>'كـشـف حضور يومي'!J10</f>
        <v>0</v>
      </c>
      <c r="E7" s="105">
        <f>'كـشـف حضور يومي'!K10</f>
        <v>0</v>
      </c>
      <c r="F7" s="106">
        <f>H7-مراجع!$B$2</f>
        <v>-0.33333333333333331</v>
      </c>
      <c r="G7" s="106">
        <f>مراجع!$B$2-H7</f>
        <v>0.33333333333333331</v>
      </c>
      <c r="H7" s="105">
        <f>SUM(E7-D7)</f>
        <v>0</v>
      </c>
      <c r="I7" s="107">
        <f>'كـشـف حضور يومي'!O10</f>
        <v>0</v>
      </c>
      <c r="J7" s="94"/>
    </row>
    <row r="8" spans="1:24" ht="21.95" customHeight="1" x14ac:dyDescent="0.2">
      <c r="A8" s="145">
        <f>'كـشـف حضور يومي'!P1</f>
        <v>1</v>
      </c>
      <c r="B8" s="146" t="str">
        <f>'كـشـف حضور يومي'!P2</f>
        <v>السبت</v>
      </c>
      <c r="C8" s="217"/>
      <c r="D8" s="105">
        <f>'كـشـف حضور يومي'!P10</f>
        <v>0</v>
      </c>
      <c r="E8" s="105">
        <f>'كـشـف حضور يومي'!Q10</f>
        <v>0</v>
      </c>
      <c r="F8" s="106">
        <f>H8-مراجع!$B$2</f>
        <v>-0.33333333333333331</v>
      </c>
      <c r="G8" s="106">
        <f>مراجع!$B$2-H8</f>
        <v>0.33333333333333331</v>
      </c>
      <c r="H8" s="105">
        <f t="shared" ref="H8:H36" si="0">SUM(E8-D8)</f>
        <v>0</v>
      </c>
      <c r="I8" s="107">
        <f>'كـشـف حضور يومي'!U10</f>
        <v>0</v>
      </c>
      <c r="J8" s="94"/>
    </row>
    <row r="9" spans="1:24" ht="21.95" customHeight="1" x14ac:dyDescent="0.2">
      <c r="A9" s="145">
        <f>'كـشـف حضور يومي'!V1</f>
        <v>1</v>
      </c>
      <c r="B9" s="147" t="str">
        <f>'كـشـف حضور يومي'!V2</f>
        <v>السبت</v>
      </c>
      <c r="C9" s="217"/>
      <c r="D9" s="105">
        <f>'كـشـف حضور يومي'!V10</f>
        <v>0</v>
      </c>
      <c r="E9" s="105">
        <f>'كـشـف حضور يومي'!W10</f>
        <v>0</v>
      </c>
      <c r="F9" s="106">
        <f>H9-مراجع!$B$2</f>
        <v>-0.33333333333333331</v>
      </c>
      <c r="G9" s="106">
        <f>مراجع!$B$2-H9</f>
        <v>0.33333333333333331</v>
      </c>
      <c r="H9" s="105">
        <f t="shared" si="0"/>
        <v>0</v>
      </c>
      <c r="I9" s="107">
        <f>'كـشـف حضور يومي'!AA10</f>
        <v>0</v>
      </c>
      <c r="J9" s="94"/>
    </row>
    <row r="10" spans="1:24" ht="21.95" customHeight="1" x14ac:dyDescent="0.2">
      <c r="A10" s="145">
        <f>'كـشـف حضور يومي'!AB1</f>
        <v>1</v>
      </c>
      <c r="B10" s="146" t="str">
        <f>'كـشـف حضور يومي'!AB2</f>
        <v>السبت</v>
      </c>
      <c r="C10" s="217"/>
      <c r="D10" s="105">
        <f>'كـشـف حضور يومي'!AB10</f>
        <v>0</v>
      </c>
      <c r="E10" s="105">
        <f>'كـشـف حضور يومي'!AC10</f>
        <v>0</v>
      </c>
      <c r="F10" s="106">
        <f>H10-مراجع!$B$2</f>
        <v>-0.33333333333333331</v>
      </c>
      <c r="G10" s="106">
        <f>مراجع!$B$2-H10</f>
        <v>0.33333333333333331</v>
      </c>
      <c r="H10" s="105">
        <f t="shared" si="0"/>
        <v>0</v>
      </c>
      <c r="I10" s="107">
        <f>'كـشـف حضور يومي'!AG10</f>
        <v>0</v>
      </c>
      <c r="J10" s="94"/>
    </row>
    <row r="11" spans="1:24" ht="21.95" customHeight="1" x14ac:dyDescent="0.2">
      <c r="A11" s="145">
        <f>'كـشـف حضور يومي'!AH1</f>
        <v>1</v>
      </c>
      <c r="B11" s="146" t="str">
        <f>'كـشـف حضور يومي'!AH2</f>
        <v>السبت</v>
      </c>
      <c r="C11" s="217"/>
      <c r="D11" s="105">
        <f>'كـشـف حضور يومي'!AH10</f>
        <v>0</v>
      </c>
      <c r="E11" s="105">
        <f>'كـشـف حضور يومي'!AI10</f>
        <v>0</v>
      </c>
      <c r="F11" s="106">
        <f>H11-مراجع!$B$2</f>
        <v>-0.33333333333333331</v>
      </c>
      <c r="G11" s="106">
        <f>مراجع!$B$2-H11</f>
        <v>0.33333333333333331</v>
      </c>
      <c r="H11" s="105">
        <f t="shared" si="0"/>
        <v>0</v>
      </c>
      <c r="I11" s="107">
        <f>'كـشـف حضور يومي'!AM10</f>
        <v>0</v>
      </c>
      <c r="J11" s="94"/>
    </row>
    <row r="12" spans="1:24" ht="21.95" customHeight="1" x14ac:dyDescent="0.2">
      <c r="A12" s="145">
        <f>'كـشـف حضور يومي'!AN1</f>
        <v>1</v>
      </c>
      <c r="B12" s="146" t="str">
        <f>'كـشـف حضور يومي'!AN2</f>
        <v>السبت</v>
      </c>
      <c r="C12" s="217"/>
      <c r="D12" s="105">
        <f>'كـشـف حضور يومي'!AN10</f>
        <v>0</v>
      </c>
      <c r="E12" s="105">
        <f>'كـشـف حضور يومي'!AO10</f>
        <v>0</v>
      </c>
      <c r="F12" s="106">
        <f>H12-مراجع!$B$2</f>
        <v>-0.33333333333333331</v>
      </c>
      <c r="G12" s="106">
        <f>مراجع!$B$2-H12</f>
        <v>0.33333333333333331</v>
      </c>
      <c r="H12" s="105">
        <f t="shared" si="0"/>
        <v>0</v>
      </c>
      <c r="I12" s="107">
        <f>'كـشـف حضور يومي'!AS10</f>
        <v>0</v>
      </c>
      <c r="J12" s="94"/>
    </row>
    <row r="13" spans="1:24" ht="21.95" customHeight="1" x14ac:dyDescent="0.2">
      <c r="A13" s="145">
        <f>'كـشـف حضور يومي'!AT1</f>
        <v>1</v>
      </c>
      <c r="B13" s="146" t="str">
        <f>'كـشـف حضور يومي'!AT2</f>
        <v>السبت</v>
      </c>
      <c r="C13" s="217"/>
      <c r="D13" s="105">
        <f>'كـشـف حضور يومي'!AT10</f>
        <v>0</v>
      </c>
      <c r="E13" s="105">
        <f>'كـشـف حضور يومي'!AU10</f>
        <v>0</v>
      </c>
      <c r="F13" s="106">
        <f>H13-مراجع!$B$2</f>
        <v>-0.33333333333333331</v>
      </c>
      <c r="G13" s="106">
        <f>مراجع!$B$2-H13</f>
        <v>0.33333333333333331</v>
      </c>
      <c r="H13" s="105">
        <f t="shared" si="0"/>
        <v>0</v>
      </c>
      <c r="I13" s="107">
        <f>'كـشـف حضور يومي'!AY10</f>
        <v>0</v>
      </c>
      <c r="J13" s="94"/>
    </row>
    <row r="14" spans="1:24" ht="21.95" customHeight="1" x14ac:dyDescent="0.2">
      <c r="A14" s="145">
        <f>'كـشـف حضور يومي'!AZ1</f>
        <v>1</v>
      </c>
      <c r="B14" s="146" t="str">
        <f>'كـشـف حضور يومي'!AZ2</f>
        <v>السبت</v>
      </c>
      <c r="C14" s="217"/>
      <c r="D14" s="105">
        <f>'كـشـف حضور يومي'!AZ10</f>
        <v>0</v>
      </c>
      <c r="E14" s="105">
        <f>'كـشـف حضور يومي'!BA10</f>
        <v>0</v>
      </c>
      <c r="F14" s="106">
        <f>H14-مراجع!$B$2</f>
        <v>-0.33333333333333331</v>
      </c>
      <c r="G14" s="106">
        <f>مراجع!$B$2-H14</f>
        <v>0.33333333333333331</v>
      </c>
      <c r="H14" s="105">
        <f t="shared" si="0"/>
        <v>0</v>
      </c>
      <c r="I14" s="107">
        <f>'كـشـف حضور يومي'!BE10</f>
        <v>0</v>
      </c>
      <c r="J14" s="94"/>
    </row>
    <row r="15" spans="1:24" ht="21.95" customHeight="1" x14ac:dyDescent="0.2">
      <c r="A15" s="145">
        <f>'كـشـف حضور يومي'!BF1</f>
        <v>1</v>
      </c>
      <c r="B15" s="146" t="str">
        <f>'كـشـف حضور يومي'!BF2</f>
        <v>السبت</v>
      </c>
      <c r="C15" s="217"/>
      <c r="D15" s="105">
        <f>'كـشـف حضور يومي'!BF10</f>
        <v>0</v>
      </c>
      <c r="E15" s="105">
        <f>'كـشـف حضور يومي'!BG10</f>
        <v>0</v>
      </c>
      <c r="F15" s="106">
        <f>H15-مراجع!$B$2</f>
        <v>-0.33333333333333331</v>
      </c>
      <c r="G15" s="106">
        <f>مراجع!$B$2-H15</f>
        <v>0.33333333333333331</v>
      </c>
      <c r="H15" s="105">
        <f t="shared" si="0"/>
        <v>0</v>
      </c>
      <c r="I15" s="107">
        <f>'كـشـف حضور يومي'!BK10</f>
        <v>0</v>
      </c>
      <c r="J15" s="94"/>
    </row>
    <row r="16" spans="1:24" ht="21.95" customHeight="1" x14ac:dyDescent="0.2">
      <c r="A16" s="145">
        <f>'كـشـف حضور يومي'!BL1</f>
        <v>1</v>
      </c>
      <c r="B16" s="146" t="str">
        <f>'كـشـف حضور يومي'!BL2</f>
        <v>السبت</v>
      </c>
      <c r="C16" s="217"/>
      <c r="D16" s="105">
        <f>'كـشـف حضور يومي'!BL10</f>
        <v>0</v>
      </c>
      <c r="E16" s="105">
        <f>'كـشـف حضور يومي'!BM10</f>
        <v>0</v>
      </c>
      <c r="F16" s="106">
        <f>H16-مراجع!$B$2</f>
        <v>-0.33333333333333331</v>
      </c>
      <c r="G16" s="106">
        <f>مراجع!$B$2-H16</f>
        <v>0.33333333333333331</v>
      </c>
      <c r="H16" s="105">
        <f t="shared" si="0"/>
        <v>0</v>
      </c>
      <c r="I16" s="107">
        <f>'كـشـف حضور يومي'!BQ10</f>
        <v>0</v>
      </c>
      <c r="J16" s="94"/>
    </row>
    <row r="17" spans="1:15" ht="21.95" customHeight="1" x14ac:dyDescent="0.2">
      <c r="A17" s="145">
        <f>'كـشـف حضور يومي'!BR1</f>
        <v>1</v>
      </c>
      <c r="B17" s="146" t="str">
        <f>'كـشـف حضور يومي'!BR2</f>
        <v>السبت</v>
      </c>
      <c r="C17" s="217"/>
      <c r="D17" s="105">
        <f>'كـشـف حضور يومي'!BR10</f>
        <v>0</v>
      </c>
      <c r="E17" s="105">
        <f>'كـشـف حضور يومي'!BS10</f>
        <v>0</v>
      </c>
      <c r="F17" s="106">
        <f>H17-مراجع!$B$2</f>
        <v>-0.33333333333333331</v>
      </c>
      <c r="G17" s="106">
        <f>مراجع!$B$2-H17</f>
        <v>0.33333333333333331</v>
      </c>
      <c r="H17" s="105">
        <f t="shared" si="0"/>
        <v>0</v>
      </c>
      <c r="I17" s="107">
        <f>'كـشـف حضور يومي'!BW10</f>
        <v>0</v>
      </c>
      <c r="J17" s="94"/>
    </row>
    <row r="18" spans="1:15" ht="21.95" customHeight="1" x14ac:dyDescent="0.2">
      <c r="A18" s="145">
        <f>'كـشـف حضور يومي'!BX1</f>
        <v>1</v>
      </c>
      <c r="B18" s="146" t="str">
        <f>'كـشـف حضور يومي'!BX2</f>
        <v>السبت</v>
      </c>
      <c r="C18" s="217"/>
      <c r="D18" s="105">
        <f>'كـشـف حضور يومي'!BX10</f>
        <v>0</v>
      </c>
      <c r="E18" s="105">
        <f>'كـشـف حضور يومي'!BY10</f>
        <v>0</v>
      </c>
      <c r="F18" s="106">
        <f>H18-مراجع!$B$2</f>
        <v>-0.33333333333333331</v>
      </c>
      <c r="G18" s="106">
        <f>مراجع!$B$2-H18</f>
        <v>0.33333333333333331</v>
      </c>
      <c r="H18" s="105">
        <f t="shared" si="0"/>
        <v>0</v>
      </c>
      <c r="I18" s="107">
        <f>'كـشـف حضور يومي'!CC10</f>
        <v>0</v>
      </c>
    </row>
    <row r="19" spans="1:15" ht="21.95" customHeight="1" x14ac:dyDescent="0.2">
      <c r="A19" s="145">
        <f>'كـشـف حضور يومي'!CD1</f>
        <v>1</v>
      </c>
      <c r="B19" s="146" t="str">
        <f>'كـشـف حضور يومي'!CD2</f>
        <v>السبت</v>
      </c>
      <c r="C19" s="217"/>
      <c r="D19" s="105">
        <f>'كـشـف حضور يومي'!CD10</f>
        <v>0</v>
      </c>
      <c r="E19" s="105">
        <f>'كـشـف حضور يومي'!CE10</f>
        <v>0</v>
      </c>
      <c r="F19" s="106">
        <f>H19-مراجع!$B$2</f>
        <v>-0.33333333333333331</v>
      </c>
      <c r="G19" s="106">
        <f>مراجع!$B$2-H19</f>
        <v>0.33333333333333331</v>
      </c>
      <c r="H19" s="105">
        <f t="shared" si="0"/>
        <v>0</v>
      </c>
      <c r="I19" s="107">
        <f>'كـشـف حضور يومي'!CI10</f>
        <v>0</v>
      </c>
    </row>
    <row r="20" spans="1:15" ht="21.95" customHeight="1" x14ac:dyDescent="0.2">
      <c r="A20" s="145">
        <f>'كـشـف حضور يومي'!CJ1</f>
        <v>1</v>
      </c>
      <c r="B20" s="146" t="str">
        <f>'كـشـف حضور يومي'!CJ2</f>
        <v>السبت</v>
      </c>
      <c r="C20" s="217"/>
      <c r="D20" s="105">
        <f>'كـشـف حضور يومي'!CJ10</f>
        <v>0</v>
      </c>
      <c r="E20" s="105">
        <f>'كـشـف حضور يومي'!CK10</f>
        <v>0</v>
      </c>
      <c r="F20" s="106">
        <f>H20-مراجع!$B$2</f>
        <v>-0.33333333333333331</v>
      </c>
      <c r="G20" s="106">
        <f>مراجع!$B$2-H20</f>
        <v>0.33333333333333331</v>
      </c>
      <c r="H20" s="105">
        <f t="shared" si="0"/>
        <v>0</v>
      </c>
      <c r="I20" s="107">
        <f>'كـشـف حضور يومي'!CO10</f>
        <v>0</v>
      </c>
      <c r="O20" s="91"/>
    </row>
    <row r="21" spans="1:15" ht="21.95" customHeight="1" x14ac:dyDescent="0.2">
      <c r="A21" s="145">
        <f>'كـشـف حضور يومي'!CP1</f>
        <v>1</v>
      </c>
      <c r="B21" s="146" t="str">
        <f>'كـشـف حضور يومي'!CP2</f>
        <v>السبت</v>
      </c>
      <c r="C21" s="217"/>
      <c r="D21" s="105">
        <f>'كـشـف حضور يومي'!CP10</f>
        <v>0</v>
      </c>
      <c r="E21" s="105">
        <f>'كـشـف حضور يومي'!CQ10</f>
        <v>0</v>
      </c>
      <c r="F21" s="106">
        <f>H21-مراجع!$B$2</f>
        <v>-0.33333333333333331</v>
      </c>
      <c r="G21" s="106">
        <f>مراجع!$B$2-H21</f>
        <v>0.33333333333333331</v>
      </c>
      <c r="H21" s="105">
        <f t="shared" si="0"/>
        <v>0</v>
      </c>
      <c r="I21" s="107">
        <f>'كـشـف حضور يومي'!CU10</f>
        <v>0</v>
      </c>
    </row>
    <row r="22" spans="1:15" ht="21.95" customHeight="1" x14ac:dyDescent="0.2">
      <c r="A22" s="145">
        <f>'كـشـف حضور يومي'!CV1</f>
        <v>1</v>
      </c>
      <c r="B22" s="146" t="str">
        <f>'كـشـف حضور يومي'!CV2</f>
        <v>السبت</v>
      </c>
      <c r="C22" s="217"/>
      <c r="D22" s="105">
        <f>'كـشـف حضور يومي'!CV10</f>
        <v>0</v>
      </c>
      <c r="E22" s="105">
        <f>'كـشـف حضور يومي'!CW10</f>
        <v>0</v>
      </c>
      <c r="F22" s="106">
        <f>H22-مراجع!$B$2</f>
        <v>-0.33333333333333331</v>
      </c>
      <c r="G22" s="106">
        <f>مراجع!$B$2-H22</f>
        <v>0.33333333333333331</v>
      </c>
      <c r="H22" s="105">
        <f t="shared" si="0"/>
        <v>0</v>
      </c>
      <c r="I22" s="107">
        <f>'كـشـف حضور يومي'!DA10</f>
        <v>0</v>
      </c>
    </row>
    <row r="23" spans="1:15" ht="21.95" customHeight="1" x14ac:dyDescent="0.2">
      <c r="A23" s="145">
        <f>'كـشـف حضور يومي'!DB1</f>
        <v>1</v>
      </c>
      <c r="B23" s="146" t="str">
        <f>'كـشـف حضور يومي'!DB2</f>
        <v>السبت</v>
      </c>
      <c r="C23" s="217"/>
      <c r="D23" s="105">
        <f>'كـشـف حضور يومي'!DB10</f>
        <v>0</v>
      </c>
      <c r="E23" s="105">
        <f>'كـشـف حضور يومي'!DC10</f>
        <v>0</v>
      </c>
      <c r="F23" s="106">
        <f>H23-مراجع!$B$2</f>
        <v>-0.33333333333333331</v>
      </c>
      <c r="G23" s="106">
        <f>مراجع!$B$2-H23</f>
        <v>0.33333333333333331</v>
      </c>
      <c r="H23" s="105">
        <f t="shared" si="0"/>
        <v>0</v>
      </c>
      <c r="I23" s="107">
        <f>'كـشـف حضور يومي'!DG10</f>
        <v>0</v>
      </c>
    </row>
    <row r="24" spans="1:15" ht="21.95" customHeight="1" x14ac:dyDescent="0.2">
      <c r="A24" s="145">
        <f>'كـشـف حضور يومي'!DH1</f>
        <v>1</v>
      </c>
      <c r="B24" s="146" t="str">
        <f>'كـشـف حضور يومي'!DH2</f>
        <v>السبت</v>
      </c>
      <c r="C24" s="217"/>
      <c r="D24" s="105">
        <f>'كـشـف حضور يومي'!DH10</f>
        <v>0</v>
      </c>
      <c r="E24" s="105">
        <f>'كـشـف حضور يومي'!DI10</f>
        <v>0</v>
      </c>
      <c r="F24" s="106">
        <f>H24-مراجع!$B$2</f>
        <v>-0.33333333333333331</v>
      </c>
      <c r="G24" s="106">
        <f>مراجع!$B$2-H24</f>
        <v>0.33333333333333331</v>
      </c>
      <c r="H24" s="105">
        <f t="shared" si="0"/>
        <v>0</v>
      </c>
      <c r="I24" s="107">
        <f>'كـشـف حضور يومي'!DM10</f>
        <v>0</v>
      </c>
    </row>
    <row r="25" spans="1:15" ht="21.95" customHeight="1" x14ac:dyDescent="0.2">
      <c r="A25" s="145">
        <f>'كـشـف حضور يومي'!DN1</f>
        <v>1</v>
      </c>
      <c r="B25" s="146" t="str">
        <f>'كـشـف حضور يومي'!DN2</f>
        <v>السبت</v>
      </c>
      <c r="C25" s="217"/>
      <c r="D25" s="105">
        <f>'كـشـف حضور يومي'!DN10</f>
        <v>0</v>
      </c>
      <c r="E25" s="105">
        <f>'كـشـف حضور يومي'!DO10</f>
        <v>0</v>
      </c>
      <c r="F25" s="106">
        <f>H25-مراجع!$B$2</f>
        <v>-0.33333333333333331</v>
      </c>
      <c r="G25" s="106">
        <f>مراجع!$B$2-H25</f>
        <v>0.33333333333333331</v>
      </c>
      <c r="H25" s="105">
        <f t="shared" si="0"/>
        <v>0</v>
      </c>
      <c r="I25" s="107">
        <f>'كـشـف حضور يومي'!DS10</f>
        <v>0</v>
      </c>
    </row>
    <row r="26" spans="1:15" ht="21.95" customHeight="1" x14ac:dyDescent="0.2">
      <c r="A26" s="145">
        <f>'كـشـف حضور يومي'!DT1</f>
        <v>1</v>
      </c>
      <c r="B26" s="146" t="str">
        <f>'كـشـف حضور يومي'!DT2</f>
        <v>السبت</v>
      </c>
      <c r="C26" s="217"/>
      <c r="D26" s="105">
        <f>'كـشـف حضور يومي'!DT10</f>
        <v>0</v>
      </c>
      <c r="E26" s="105">
        <f>'كـشـف حضور يومي'!DU10</f>
        <v>0</v>
      </c>
      <c r="F26" s="106">
        <f>H26-مراجع!$B$2</f>
        <v>-0.33333333333333331</v>
      </c>
      <c r="G26" s="106">
        <f>مراجع!$B$2-H26</f>
        <v>0.33333333333333331</v>
      </c>
      <c r="H26" s="105">
        <f t="shared" si="0"/>
        <v>0</v>
      </c>
      <c r="I26" s="107">
        <f>'كـشـف حضور يومي'!DY10</f>
        <v>0</v>
      </c>
    </row>
    <row r="27" spans="1:15" ht="21.95" customHeight="1" x14ac:dyDescent="0.2">
      <c r="A27" s="145">
        <f>'كـشـف حضور يومي'!DZ1</f>
        <v>1</v>
      </c>
      <c r="B27" s="146" t="str">
        <f>'كـشـف حضور يومي'!DZ2</f>
        <v>السبت</v>
      </c>
      <c r="C27" s="217"/>
      <c r="D27" s="105">
        <f>'كـشـف حضور يومي'!DZ10</f>
        <v>0</v>
      </c>
      <c r="E27" s="105">
        <f>'كـشـف حضور يومي'!EA10</f>
        <v>0</v>
      </c>
      <c r="F27" s="106">
        <f>H27-مراجع!$B$2</f>
        <v>-0.33333333333333331</v>
      </c>
      <c r="G27" s="106">
        <f>مراجع!$B$2-H27</f>
        <v>0.33333333333333331</v>
      </c>
      <c r="H27" s="105">
        <f t="shared" si="0"/>
        <v>0</v>
      </c>
      <c r="I27" s="107">
        <f>'كـشـف حضور يومي'!EE10</f>
        <v>0</v>
      </c>
    </row>
    <row r="28" spans="1:15" ht="21.95" customHeight="1" x14ac:dyDescent="0.2">
      <c r="A28" s="145">
        <f>'كـشـف حضور يومي'!EF1</f>
        <v>1</v>
      </c>
      <c r="B28" s="146" t="str">
        <f>'كـشـف حضور يومي'!EF2</f>
        <v>السبت</v>
      </c>
      <c r="C28" s="217"/>
      <c r="D28" s="105">
        <f>'كـشـف حضور يومي'!EF10</f>
        <v>0</v>
      </c>
      <c r="E28" s="105">
        <f>'كـشـف حضور يومي'!EG10</f>
        <v>0</v>
      </c>
      <c r="F28" s="106">
        <f>H28-مراجع!$B$2</f>
        <v>-0.33333333333333331</v>
      </c>
      <c r="G28" s="106">
        <f>مراجع!$B$2-H28</f>
        <v>0.33333333333333331</v>
      </c>
      <c r="H28" s="105">
        <f t="shared" si="0"/>
        <v>0</v>
      </c>
      <c r="I28" s="107">
        <f>'كـشـف حضور يومي'!EK10</f>
        <v>0</v>
      </c>
    </row>
    <row r="29" spans="1:15" ht="21.95" customHeight="1" x14ac:dyDescent="0.2">
      <c r="A29" s="145">
        <f>'كـشـف حضور يومي'!EL1</f>
        <v>1</v>
      </c>
      <c r="B29" s="146" t="str">
        <f>'كـشـف حضور يومي'!EL2</f>
        <v>السبت</v>
      </c>
      <c r="C29" s="217"/>
      <c r="D29" s="105">
        <f>'كـشـف حضور يومي'!EL10</f>
        <v>0</v>
      </c>
      <c r="E29" s="105">
        <f>'كـشـف حضور يومي'!EM10</f>
        <v>0</v>
      </c>
      <c r="F29" s="106">
        <f>H29-مراجع!$B$2</f>
        <v>-0.33333333333333331</v>
      </c>
      <c r="G29" s="106">
        <f>مراجع!$B$2-H29</f>
        <v>0.33333333333333331</v>
      </c>
      <c r="H29" s="105">
        <f t="shared" si="0"/>
        <v>0</v>
      </c>
      <c r="I29" s="107">
        <f>'كـشـف حضور يومي'!EQ10</f>
        <v>0</v>
      </c>
    </row>
    <row r="30" spans="1:15" ht="21.95" customHeight="1" x14ac:dyDescent="0.2">
      <c r="A30" s="145">
        <f>'كـشـف حضور يومي'!ER1</f>
        <v>1</v>
      </c>
      <c r="B30" s="146" t="str">
        <f>'كـشـف حضور يومي'!ER2</f>
        <v>السبت</v>
      </c>
      <c r="C30" s="217"/>
      <c r="D30" s="105">
        <f>'كـشـف حضور يومي'!ER10</f>
        <v>0</v>
      </c>
      <c r="E30" s="105">
        <f>'كـشـف حضور يومي'!ES10</f>
        <v>0</v>
      </c>
      <c r="F30" s="106">
        <f>H30-مراجع!$B$2</f>
        <v>-0.33333333333333331</v>
      </c>
      <c r="G30" s="106">
        <f>مراجع!$B$2-H30</f>
        <v>0.33333333333333331</v>
      </c>
      <c r="H30" s="105">
        <f t="shared" si="0"/>
        <v>0</v>
      </c>
      <c r="I30" s="107">
        <f>'كـشـف حضور يومي'!EW10</f>
        <v>0</v>
      </c>
    </row>
    <row r="31" spans="1:15" ht="21.95" customHeight="1" x14ac:dyDescent="0.2">
      <c r="A31" s="145">
        <f>'كـشـف حضور يومي'!EX1</f>
        <v>1</v>
      </c>
      <c r="B31" s="146" t="str">
        <f>'كـشـف حضور يومي'!EX2</f>
        <v>السبت</v>
      </c>
      <c r="C31" s="217"/>
      <c r="D31" s="105">
        <f>'كـشـف حضور يومي'!EX10</f>
        <v>0</v>
      </c>
      <c r="E31" s="105">
        <f>'كـشـف حضور يومي'!EY10</f>
        <v>0</v>
      </c>
      <c r="F31" s="106">
        <f>H31-مراجع!$B$2</f>
        <v>-0.33333333333333331</v>
      </c>
      <c r="G31" s="106">
        <f>مراجع!$B$2-H31</f>
        <v>0.33333333333333331</v>
      </c>
      <c r="H31" s="105">
        <f t="shared" si="0"/>
        <v>0</v>
      </c>
      <c r="I31" s="107">
        <f>'كـشـف حضور يومي'!FC10</f>
        <v>0</v>
      </c>
    </row>
    <row r="32" spans="1:15" ht="21.95" customHeight="1" x14ac:dyDescent="0.2">
      <c r="A32" s="145">
        <f>'كـشـف حضور يومي'!FD1</f>
        <v>1</v>
      </c>
      <c r="B32" s="146" t="str">
        <f>'كـشـف حضور يومي'!FD2</f>
        <v>السبت</v>
      </c>
      <c r="C32" s="217"/>
      <c r="D32" s="105">
        <f>'كـشـف حضور يومي'!FD10</f>
        <v>0</v>
      </c>
      <c r="E32" s="105">
        <f>'كـشـف حضور يومي'!FE10</f>
        <v>0</v>
      </c>
      <c r="F32" s="106">
        <f>H32-مراجع!$B$2</f>
        <v>-0.33333333333333331</v>
      </c>
      <c r="G32" s="106">
        <f>مراجع!$B$2-H32</f>
        <v>0.33333333333333331</v>
      </c>
      <c r="H32" s="105">
        <f t="shared" si="0"/>
        <v>0</v>
      </c>
      <c r="I32" s="107">
        <f>'كـشـف حضور يومي'!FI10</f>
        <v>0</v>
      </c>
    </row>
    <row r="33" spans="1:9" ht="21.95" customHeight="1" x14ac:dyDescent="0.2">
      <c r="A33" s="145">
        <f>'كـشـف حضور يومي'!FJ1</f>
        <v>1</v>
      </c>
      <c r="B33" s="146" t="str">
        <f>'كـشـف حضور يومي'!FJ2</f>
        <v>السبت</v>
      </c>
      <c r="C33" s="217"/>
      <c r="D33" s="105">
        <f>'كـشـف حضور يومي'!FJ10</f>
        <v>0</v>
      </c>
      <c r="E33" s="105">
        <f>'كـشـف حضور يومي'!FK10</f>
        <v>0</v>
      </c>
      <c r="F33" s="106">
        <f>H33-مراجع!$B$2</f>
        <v>-0.33333333333333331</v>
      </c>
      <c r="G33" s="106">
        <f>مراجع!$B$2-H33</f>
        <v>0.33333333333333331</v>
      </c>
      <c r="H33" s="105">
        <f t="shared" si="0"/>
        <v>0</v>
      </c>
      <c r="I33" s="107">
        <f>'كـشـف حضور يومي'!FO10</f>
        <v>0</v>
      </c>
    </row>
    <row r="34" spans="1:9" ht="21.95" customHeight="1" x14ac:dyDescent="0.2">
      <c r="A34" s="145">
        <f>'كـشـف حضور يومي'!FP1</f>
        <v>1</v>
      </c>
      <c r="B34" s="146" t="str">
        <f>'كـشـف حضور يومي'!FP2</f>
        <v>السبت</v>
      </c>
      <c r="C34" s="217"/>
      <c r="D34" s="105">
        <f>'كـشـف حضور يومي'!FP10</f>
        <v>0</v>
      </c>
      <c r="E34" s="105">
        <f>'كـشـف حضور يومي'!FQ10</f>
        <v>0</v>
      </c>
      <c r="F34" s="106">
        <f>H34-مراجع!$B$2</f>
        <v>-0.33333333333333331</v>
      </c>
      <c r="G34" s="106">
        <f>مراجع!$B$2-H34</f>
        <v>0.33333333333333331</v>
      </c>
      <c r="H34" s="105">
        <f t="shared" si="0"/>
        <v>0</v>
      </c>
      <c r="I34" s="107">
        <f>'كـشـف حضور يومي'!FU10</f>
        <v>0</v>
      </c>
    </row>
    <row r="35" spans="1:9" ht="21.95" customHeight="1" x14ac:dyDescent="0.2">
      <c r="A35" s="145">
        <f>'كـشـف حضور يومي'!FV1</f>
        <v>1</v>
      </c>
      <c r="B35" s="146" t="str">
        <f>'كـشـف حضور يومي'!FV2</f>
        <v>السبت</v>
      </c>
      <c r="C35" s="217"/>
      <c r="D35" s="105">
        <f>'كـشـف حضور يومي'!FV10</f>
        <v>0</v>
      </c>
      <c r="E35" s="105">
        <f>'كـشـف حضور يومي'!FW10</f>
        <v>0</v>
      </c>
      <c r="F35" s="106">
        <f>H35-مراجع!$B$2</f>
        <v>-0.33333333333333331</v>
      </c>
      <c r="G35" s="106">
        <f>مراجع!$B$2-H35</f>
        <v>0.33333333333333331</v>
      </c>
      <c r="H35" s="105">
        <f t="shared" si="0"/>
        <v>0</v>
      </c>
      <c r="I35" s="107">
        <f>'كـشـف حضور يومي'!GA10</f>
        <v>0</v>
      </c>
    </row>
    <row r="36" spans="1:9" ht="21.95" customHeight="1" x14ac:dyDescent="0.2">
      <c r="A36" s="145">
        <f>'كـشـف حضور يومي'!GB1</f>
        <v>1</v>
      </c>
      <c r="B36" s="146" t="str">
        <f>'كـشـف حضور يومي'!GB2</f>
        <v>السبت</v>
      </c>
      <c r="C36" s="217"/>
      <c r="D36" s="105">
        <f>'كـشـف حضور يومي'!GB10</f>
        <v>0</v>
      </c>
      <c r="E36" s="105">
        <f>'كـشـف حضور يومي'!GC10</f>
        <v>0</v>
      </c>
      <c r="F36" s="106">
        <f>H36-مراجع!$B$2</f>
        <v>-0.33333333333333331</v>
      </c>
      <c r="G36" s="106">
        <f>مراجع!$B$2-H36</f>
        <v>0.33333333333333331</v>
      </c>
      <c r="H36" s="105">
        <f t="shared" si="0"/>
        <v>0</v>
      </c>
      <c r="I36" s="107">
        <f>'كـشـف حضور يومي'!GG10</f>
        <v>0</v>
      </c>
    </row>
    <row r="37" spans="1:9" ht="21.95" customHeight="1" x14ac:dyDescent="0.2">
      <c r="A37" s="216" t="s">
        <v>64</v>
      </c>
      <c r="B37" s="216"/>
      <c r="C37" s="216"/>
      <c r="D37" s="216"/>
      <c r="E37" s="216"/>
      <c r="F37" s="220">
        <f>SUM(H6:H36)</f>
        <v>0</v>
      </c>
      <c r="G37" s="220"/>
      <c r="H37" s="220"/>
      <c r="I37" s="220"/>
    </row>
    <row r="38" spans="1:9" ht="21.95" customHeight="1" x14ac:dyDescent="0.2">
      <c r="A38" s="215" t="s">
        <v>59</v>
      </c>
      <c r="B38" s="215"/>
      <c r="C38" s="215"/>
      <c r="D38" s="215"/>
      <c r="E38" s="215"/>
      <c r="F38" s="221">
        <f>F37*I2*24</f>
        <v>0</v>
      </c>
      <c r="G38" s="221"/>
      <c r="H38" s="221"/>
      <c r="I38" s="221"/>
    </row>
  </sheetData>
  <sheetProtection algorithmName="SHA-512" hashValue="snknFf483GdBEDb2CSwHnoZMbzAPIw9WZ/vev5+TJ2tLcpytdIzbNA11NT1HB0MY2ZAe9Iq1+EkLWdYXj2aNKg==" saltValue="mTGivzh9mLH9r/cWS02+8Q==" spinCount="100000" sheet="1" objects="1" scenarios="1"/>
  <mergeCells count="14">
    <mergeCell ref="A37:E37"/>
    <mergeCell ref="F37:I37"/>
    <mergeCell ref="A38:E38"/>
    <mergeCell ref="F38:I38"/>
    <mergeCell ref="A3:I3"/>
    <mergeCell ref="A4:B4"/>
    <mergeCell ref="H4:I4"/>
    <mergeCell ref="C4:E4"/>
    <mergeCell ref="C5:C36"/>
    <mergeCell ref="A1:B1"/>
    <mergeCell ref="D1:F2"/>
    <mergeCell ref="G1:H1"/>
    <mergeCell ref="A2:B2"/>
    <mergeCell ref="G2:H2"/>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C482709C-CC8C-4C7E-91CE-18E696B81C80}">
          <x14:formula1>
            <xm:f>مراجع!$B$4:$B$15</xm:f>
          </x14:formula1>
          <xm:sqref>C4:E4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38"/>
  <sheetViews>
    <sheetView rightToLeft="1" zoomScaleNormal="100" workbookViewId="0">
      <pane ySplit="5" topLeftCell="A6" activePane="bottomLeft" state="frozen"/>
      <selection pane="bottomLeft" activeCell="G1" sqref="G1:I2"/>
    </sheetView>
  </sheetViews>
  <sheetFormatPr defaultColWidth="9.125" defaultRowHeight="21.95" customHeight="1" x14ac:dyDescent="0.2"/>
  <cols>
    <col min="1" max="9" width="12.75" style="86" customWidth="1"/>
    <col min="10" max="10" width="79.625" style="86" customWidth="1"/>
    <col min="11" max="11" width="4.625" style="85" bestFit="1" customWidth="1"/>
    <col min="12" max="12" width="9.125" style="85" bestFit="1" customWidth="1"/>
    <col min="13" max="13" width="6.375" style="85" bestFit="1" customWidth="1"/>
    <col min="14" max="14" width="10.125" style="85" bestFit="1" customWidth="1"/>
    <col min="15" max="15" width="7.875" style="85" bestFit="1" customWidth="1"/>
    <col min="16" max="16" width="9.125" style="85" bestFit="1" customWidth="1"/>
    <col min="17" max="17" width="9.75" style="85" bestFit="1" customWidth="1"/>
    <col min="18" max="18" width="9" style="85" bestFit="1" customWidth="1"/>
    <col min="19" max="20" width="6.625" style="85" bestFit="1" customWidth="1"/>
    <col min="21" max="21" width="10.125" style="85" bestFit="1" customWidth="1"/>
    <col min="22" max="16384" width="9.125" style="85"/>
  </cols>
  <sheetData>
    <row r="1" spans="1:24" ht="21.95" customHeight="1" x14ac:dyDescent="0.2">
      <c r="A1" s="208" t="s">
        <v>43</v>
      </c>
      <c r="B1" s="208"/>
      <c r="C1" s="96" t="s">
        <v>82</v>
      </c>
      <c r="D1" s="209"/>
      <c r="E1" s="209"/>
      <c r="F1" s="209"/>
      <c r="G1" s="208" t="s">
        <v>21</v>
      </c>
      <c r="H1" s="208"/>
      <c r="I1" s="97" t="s">
        <v>82</v>
      </c>
      <c r="J1"/>
      <c r="K1"/>
      <c r="N1" s="89"/>
      <c r="O1" s="89"/>
      <c r="P1" s="89"/>
      <c r="Q1" s="89"/>
      <c r="R1" s="89"/>
      <c r="S1" s="89"/>
      <c r="T1" s="89"/>
      <c r="U1" s="89"/>
      <c r="V1" s="89"/>
      <c r="W1" s="89"/>
      <c r="X1" s="89"/>
    </row>
    <row r="2" spans="1:24" ht="21.95" customHeight="1" x14ac:dyDescent="0.2">
      <c r="A2" s="207" t="s">
        <v>52</v>
      </c>
      <c r="B2" s="207"/>
      <c r="C2" s="98" t="s">
        <v>82</v>
      </c>
      <c r="D2" s="209"/>
      <c r="E2" s="209"/>
      <c r="F2" s="209"/>
      <c r="G2" s="207" t="s">
        <v>53</v>
      </c>
      <c r="H2" s="207"/>
      <c r="I2" s="99">
        <v>15</v>
      </c>
      <c r="J2"/>
      <c r="K2"/>
      <c r="L2" s="118"/>
      <c r="O2" s="87"/>
      <c r="P2" s="88"/>
      <c r="Q2" s="88"/>
      <c r="R2" s="88"/>
      <c r="S2" s="88"/>
      <c r="T2" s="88"/>
      <c r="U2" s="88"/>
      <c r="V2" s="88"/>
      <c r="W2" s="88"/>
      <c r="X2" s="88"/>
    </row>
    <row r="3" spans="1:24" ht="21.95" customHeight="1" x14ac:dyDescent="0.2">
      <c r="A3" s="223" t="s">
        <v>37</v>
      </c>
      <c r="B3" s="223"/>
      <c r="C3" s="223"/>
      <c r="D3" s="223"/>
      <c r="E3" s="223"/>
      <c r="F3" s="223"/>
      <c r="G3" s="223"/>
      <c r="H3" s="223"/>
      <c r="I3" s="223"/>
      <c r="J3" s="92"/>
      <c r="K3" s="86"/>
      <c r="L3" s="86"/>
      <c r="M3" s="86"/>
      <c r="N3" s="86"/>
      <c r="O3" s="86"/>
      <c r="P3" s="86"/>
      <c r="Q3" s="90"/>
      <c r="R3" s="90"/>
      <c r="S3" s="90"/>
      <c r="T3" s="90"/>
    </row>
    <row r="4" spans="1:24" ht="21.95" customHeight="1" x14ac:dyDescent="0.2">
      <c r="A4" s="213" t="s">
        <v>4</v>
      </c>
      <c r="B4" s="213"/>
      <c r="C4" s="213" t="s">
        <v>42</v>
      </c>
      <c r="D4" s="213"/>
      <c r="E4" s="213"/>
      <c r="F4" s="144" t="s">
        <v>54</v>
      </c>
      <c r="G4" s="144"/>
      <c r="H4" s="214" t="s">
        <v>82</v>
      </c>
      <c r="I4" s="214"/>
      <c r="J4" s="92"/>
      <c r="K4" s="86"/>
      <c r="L4" s="86"/>
      <c r="M4" s="86"/>
      <c r="N4" s="86"/>
      <c r="O4" s="86"/>
      <c r="P4" s="86"/>
      <c r="Q4" s="90"/>
      <c r="R4" s="90"/>
      <c r="S4" s="90"/>
      <c r="T4" s="90"/>
    </row>
    <row r="5" spans="1:24" ht="21.95" customHeight="1" x14ac:dyDescent="0.2">
      <c r="A5" s="100" t="s">
        <v>56</v>
      </c>
      <c r="B5" s="100" t="s">
        <v>55</v>
      </c>
      <c r="C5" s="217"/>
      <c r="D5" s="102" t="s">
        <v>23</v>
      </c>
      <c r="E5" s="102" t="s">
        <v>24</v>
      </c>
      <c r="F5" s="103" t="s">
        <v>57</v>
      </c>
      <c r="G5" s="104" t="s">
        <v>58</v>
      </c>
      <c r="H5" s="102" t="s">
        <v>17</v>
      </c>
      <c r="I5" s="102" t="s">
        <v>25</v>
      </c>
      <c r="J5" s="93"/>
    </row>
    <row r="6" spans="1:24" ht="21.95" customHeight="1" x14ac:dyDescent="0.2">
      <c r="A6" s="145">
        <f>'كـشـف حضور يومي'!D1</f>
        <v>1</v>
      </c>
      <c r="B6" s="146" t="str">
        <f>'كـشـف حضور يومي'!D2</f>
        <v>السبت</v>
      </c>
      <c r="C6" s="217"/>
      <c r="D6" s="105">
        <f>'كـشـف حضور يومي'!D11</f>
        <v>0</v>
      </c>
      <c r="E6" s="105">
        <f>'كـشـف حضور يومي'!E11</f>
        <v>0</v>
      </c>
      <c r="F6" s="106">
        <f>H6-مراجع!$B$2</f>
        <v>-0.33333333333333331</v>
      </c>
      <c r="G6" s="106">
        <f>مراجع!$B$2-H6</f>
        <v>0.33333333333333331</v>
      </c>
      <c r="H6" s="105">
        <f>SUM(E6-D6)</f>
        <v>0</v>
      </c>
      <c r="I6" s="107">
        <f>'كـشـف حضور يومي'!I11</f>
        <v>0</v>
      </c>
      <c r="J6" s="94"/>
    </row>
    <row r="7" spans="1:24" ht="21.95" customHeight="1" x14ac:dyDescent="0.2">
      <c r="A7" s="145">
        <f>'كـشـف حضور يومي'!J1</f>
        <v>1</v>
      </c>
      <c r="B7" s="146" t="str">
        <f>'كـشـف حضور يومي'!J2</f>
        <v>السبت</v>
      </c>
      <c r="C7" s="217"/>
      <c r="D7" s="105">
        <f>'كـشـف حضور يومي'!J11</f>
        <v>0</v>
      </c>
      <c r="E7" s="105">
        <f>'كـشـف حضور يومي'!K11</f>
        <v>0</v>
      </c>
      <c r="F7" s="106">
        <f>H7-مراجع!$B$2</f>
        <v>-0.33333333333333331</v>
      </c>
      <c r="G7" s="106">
        <f>مراجع!$B$2-H7</f>
        <v>0.33333333333333331</v>
      </c>
      <c r="H7" s="105">
        <f>SUM(E7-D7)</f>
        <v>0</v>
      </c>
      <c r="I7" s="107">
        <f>'كـشـف حضور يومي'!O11</f>
        <v>0</v>
      </c>
      <c r="J7" s="94"/>
    </row>
    <row r="8" spans="1:24" ht="21.95" customHeight="1" x14ac:dyDescent="0.2">
      <c r="A8" s="145">
        <f>'كـشـف حضور يومي'!P1</f>
        <v>1</v>
      </c>
      <c r="B8" s="146" t="str">
        <f>'كـشـف حضور يومي'!P2</f>
        <v>السبت</v>
      </c>
      <c r="C8" s="217"/>
      <c r="D8" s="105">
        <f>'كـشـف حضور يومي'!P11</f>
        <v>0</v>
      </c>
      <c r="E8" s="105">
        <f>'كـشـف حضور يومي'!Q11</f>
        <v>0</v>
      </c>
      <c r="F8" s="106">
        <f>H8-مراجع!$B$2</f>
        <v>-0.33333333333333331</v>
      </c>
      <c r="G8" s="106">
        <f>مراجع!$B$2-H8</f>
        <v>0.33333333333333331</v>
      </c>
      <c r="H8" s="105">
        <f t="shared" ref="H8:H36" si="0">SUM(E8-D8)</f>
        <v>0</v>
      </c>
      <c r="I8" s="107">
        <f>'كـشـف حضور يومي'!U11</f>
        <v>0</v>
      </c>
      <c r="J8" s="94"/>
    </row>
    <row r="9" spans="1:24" ht="21.95" customHeight="1" x14ac:dyDescent="0.2">
      <c r="A9" s="145">
        <f>'كـشـف حضور يومي'!V1</f>
        <v>1</v>
      </c>
      <c r="B9" s="147" t="str">
        <f>'كـشـف حضور يومي'!V2</f>
        <v>السبت</v>
      </c>
      <c r="C9" s="217"/>
      <c r="D9" s="105">
        <f>'كـشـف حضور يومي'!V11</f>
        <v>0</v>
      </c>
      <c r="E9" s="105">
        <f>'كـشـف حضور يومي'!W11</f>
        <v>0</v>
      </c>
      <c r="F9" s="106">
        <f>H9-مراجع!$B$2</f>
        <v>-0.33333333333333331</v>
      </c>
      <c r="G9" s="106">
        <f>مراجع!$B$2-H9</f>
        <v>0.33333333333333331</v>
      </c>
      <c r="H9" s="105">
        <f t="shared" si="0"/>
        <v>0</v>
      </c>
      <c r="I9" s="107">
        <f>'كـشـف حضور يومي'!AA11</f>
        <v>0</v>
      </c>
      <c r="J9" s="94"/>
    </row>
    <row r="10" spans="1:24" ht="21.95" customHeight="1" x14ac:dyDescent="0.2">
      <c r="A10" s="145">
        <f>'كـشـف حضور يومي'!AB1</f>
        <v>1</v>
      </c>
      <c r="B10" s="146" t="str">
        <f>'كـشـف حضور يومي'!AB2</f>
        <v>السبت</v>
      </c>
      <c r="C10" s="217"/>
      <c r="D10" s="105">
        <f>'كـشـف حضور يومي'!AB11</f>
        <v>0</v>
      </c>
      <c r="E10" s="105">
        <f>'كـشـف حضور يومي'!AC11</f>
        <v>0</v>
      </c>
      <c r="F10" s="106">
        <f>H10-مراجع!$B$2</f>
        <v>-0.33333333333333331</v>
      </c>
      <c r="G10" s="106">
        <f>مراجع!$B$2-H10</f>
        <v>0.33333333333333331</v>
      </c>
      <c r="H10" s="105">
        <f t="shared" si="0"/>
        <v>0</v>
      </c>
      <c r="I10" s="107">
        <f>'كـشـف حضور يومي'!AG11</f>
        <v>0</v>
      </c>
      <c r="J10" s="94"/>
    </row>
    <row r="11" spans="1:24" ht="21.95" customHeight="1" x14ac:dyDescent="0.2">
      <c r="A11" s="145">
        <f>'كـشـف حضور يومي'!AH1</f>
        <v>1</v>
      </c>
      <c r="B11" s="146" t="str">
        <f>'كـشـف حضور يومي'!AH2</f>
        <v>السبت</v>
      </c>
      <c r="C11" s="217"/>
      <c r="D11" s="105">
        <f>'كـشـف حضور يومي'!AH11</f>
        <v>0</v>
      </c>
      <c r="E11" s="105">
        <f>'كـشـف حضور يومي'!AI11</f>
        <v>0</v>
      </c>
      <c r="F11" s="106">
        <f>H11-مراجع!$B$2</f>
        <v>-0.33333333333333331</v>
      </c>
      <c r="G11" s="106">
        <f>مراجع!$B$2-H11</f>
        <v>0.33333333333333331</v>
      </c>
      <c r="H11" s="105">
        <f t="shared" si="0"/>
        <v>0</v>
      </c>
      <c r="I11" s="107">
        <f>'كـشـف حضور يومي'!AM11</f>
        <v>0</v>
      </c>
      <c r="J11" s="94"/>
    </row>
    <row r="12" spans="1:24" ht="21.95" customHeight="1" x14ac:dyDescent="0.2">
      <c r="A12" s="145">
        <f>'كـشـف حضور يومي'!AN1</f>
        <v>1</v>
      </c>
      <c r="B12" s="146" t="str">
        <f>'كـشـف حضور يومي'!AN2</f>
        <v>السبت</v>
      </c>
      <c r="C12" s="217"/>
      <c r="D12" s="105">
        <f>'كـشـف حضور يومي'!AN11</f>
        <v>0</v>
      </c>
      <c r="E12" s="105">
        <f>'كـشـف حضور يومي'!AO11</f>
        <v>0</v>
      </c>
      <c r="F12" s="106">
        <f>H12-مراجع!$B$2</f>
        <v>-0.33333333333333331</v>
      </c>
      <c r="G12" s="106">
        <f>مراجع!$B$2-H12</f>
        <v>0.33333333333333331</v>
      </c>
      <c r="H12" s="105">
        <f t="shared" si="0"/>
        <v>0</v>
      </c>
      <c r="I12" s="107">
        <f>'كـشـف حضور يومي'!AS11</f>
        <v>0</v>
      </c>
      <c r="J12" s="94"/>
    </row>
    <row r="13" spans="1:24" ht="21.95" customHeight="1" x14ac:dyDescent="0.2">
      <c r="A13" s="145">
        <f>'كـشـف حضور يومي'!AT1</f>
        <v>1</v>
      </c>
      <c r="B13" s="146" t="str">
        <f>'كـشـف حضور يومي'!AT2</f>
        <v>السبت</v>
      </c>
      <c r="C13" s="217"/>
      <c r="D13" s="105">
        <f>'كـشـف حضور يومي'!AT11</f>
        <v>0</v>
      </c>
      <c r="E13" s="105">
        <f>'كـشـف حضور يومي'!AU11</f>
        <v>0</v>
      </c>
      <c r="F13" s="106">
        <f>H13-مراجع!$B$2</f>
        <v>-0.33333333333333331</v>
      </c>
      <c r="G13" s="106">
        <f>مراجع!$B$2-H13</f>
        <v>0.33333333333333331</v>
      </c>
      <c r="H13" s="105">
        <f t="shared" si="0"/>
        <v>0</v>
      </c>
      <c r="I13" s="107">
        <f>'كـشـف حضور يومي'!AY11</f>
        <v>0</v>
      </c>
      <c r="J13" s="94"/>
    </row>
    <row r="14" spans="1:24" ht="21.95" customHeight="1" x14ac:dyDescent="0.2">
      <c r="A14" s="145">
        <f>'كـشـف حضور يومي'!AZ1</f>
        <v>1</v>
      </c>
      <c r="B14" s="146" t="str">
        <f>'كـشـف حضور يومي'!AZ2</f>
        <v>السبت</v>
      </c>
      <c r="C14" s="217"/>
      <c r="D14" s="105">
        <f>'كـشـف حضور يومي'!AZ11</f>
        <v>0</v>
      </c>
      <c r="E14" s="105">
        <f>'كـشـف حضور يومي'!BA11</f>
        <v>0</v>
      </c>
      <c r="F14" s="106">
        <f>H14-مراجع!$B$2</f>
        <v>-0.33333333333333331</v>
      </c>
      <c r="G14" s="106">
        <f>مراجع!$B$2-H14</f>
        <v>0.33333333333333331</v>
      </c>
      <c r="H14" s="105">
        <f t="shared" si="0"/>
        <v>0</v>
      </c>
      <c r="I14" s="107">
        <f>'كـشـف حضور يومي'!BE11</f>
        <v>0</v>
      </c>
      <c r="J14" s="94"/>
    </row>
    <row r="15" spans="1:24" ht="21.95" customHeight="1" x14ac:dyDescent="0.2">
      <c r="A15" s="145">
        <f>'كـشـف حضور يومي'!BF1</f>
        <v>1</v>
      </c>
      <c r="B15" s="146" t="str">
        <f>'كـشـف حضور يومي'!BF2</f>
        <v>السبت</v>
      </c>
      <c r="C15" s="217"/>
      <c r="D15" s="105">
        <f>'كـشـف حضور يومي'!BF11</f>
        <v>0</v>
      </c>
      <c r="E15" s="105">
        <f>'كـشـف حضور يومي'!BG11</f>
        <v>0</v>
      </c>
      <c r="F15" s="106">
        <f>H15-مراجع!$B$2</f>
        <v>-0.33333333333333331</v>
      </c>
      <c r="G15" s="106">
        <f>مراجع!$B$2-H15</f>
        <v>0.33333333333333331</v>
      </c>
      <c r="H15" s="105">
        <f t="shared" si="0"/>
        <v>0</v>
      </c>
      <c r="I15" s="107">
        <f>'كـشـف حضور يومي'!BK11</f>
        <v>0</v>
      </c>
      <c r="J15" s="94"/>
    </row>
    <row r="16" spans="1:24" ht="21.95" customHeight="1" x14ac:dyDescent="0.2">
      <c r="A16" s="145">
        <f>'كـشـف حضور يومي'!BL1</f>
        <v>1</v>
      </c>
      <c r="B16" s="146" t="str">
        <f>'كـشـف حضور يومي'!BL2</f>
        <v>السبت</v>
      </c>
      <c r="C16" s="217"/>
      <c r="D16" s="105">
        <f>'كـشـف حضور يومي'!BL11</f>
        <v>0</v>
      </c>
      <c r="E16" s="105">
        <f>'كـشـف حضور يومي'!BM11</f>
        <v>0</v>
      </c>
      <c r="F16" s="106">
        <f>H16-مراجع!$B$2</f>
        <v>-0.33333333333333331</v>
      </c>
      <c r="G16" s="106">
        <f>مراجع!$B$2-H16</f>
        <v>0.33333333333333331</v>
      </c>
      <c r="H16" s="105">
        <f t="shared" si="0"/>
        <v>0</v>
      </c>
      <c r="I16" s="107">
        <f>'كـشـف حضور يومي'!BQ11</f>
        <v>0</v>
      </c>
      <c r="J16" s="94"/>
    </row>
    <row r="17" spans="1:15" ht="21.95" customHeight="1" x14ac:dyDescent="0.2">
      <c r="A17" s="145">
        <f>'كـشـف حضور يومي'!BR1</f>
        <v>1</v>
      </c>
      <c r="B17" s="146" t="str">
        <f>'كـشـف حضور يومي'!BR2</f>
        <v>السبت</v>
      </c>
      <c r="C17" s="217"/>
      <c r="D17" s="105">
        <f>'كـشـف حضور يومي'!BR11</f>
        <v>0</v>
      </c>
      <c r="E17" s="105">
        <f>'كـشـف حضور يومي'!BS11</f>
        <v>0</v>
      </c>
      <c r="F17" s="106">
        <f>H17-مراجع!$B$2</f>
        <v>-0.33333333333333331</v>
      </c>
      <c r="G17" s="106">
        <f>مراجع!$B$2-H17</f>
        <v>0.33333333333333331</v>
      </c>
      <c r="H17" s="105">
        <f t="shared" si="0"/>
        <v>0</v>
      </c>
      <c r="I17" s="107">
        <f>'كـشـف حضور يومي'!BW11</f>
        <v>0</v>
      </c>
      <c r="J17" s="94"/>
    </row>
    <row r="18" spans="1:15" ht="21.95" customHeight="1" x14ac:dyDescent="0.2">
      <c r="A18" s="145">
        <f>'كـشـف حضور يومي'!BX1</f>
        <v>1</v>
      </c>
      <c r="B18" s="146" t="str">
        <f>'كـشـف حضور يومي'!BX2</f>
        <v>السبت</v>
      </c>
      <c r="C18" s="217"/>
      <c r="D18" s="105">
        <f>'كـشـف حضور يومي'!BX11</f>
        <v>0</v>
      </c>
      <c r="E18" s="105">
        <f>'كـشـف حضور يومي'!BY11</f>
        <v>0</v>
      </c>
      <c r="F18" s="106">
        <f>H18-مراجع!$B$2</f>
        <v>-0.33333333333333331</v>
      </c>
      <c r="G18" s="106">
        <f>مراجع!$B$2-H18</f>
        <v>0.33333333333333331</v>
      </c>
      <c r="H18" s="105">
        <f t="shared" si="0"/>
        <v>0</v>
      </c>
      <c r="I18" s="107">
        <f>'كـشـف حضور يومي'!CC11</f>
        <v>0</v>
      </c>
    </row>
    <row r="19" spans="1:15" ht="21.95" customHeight="1" x14ac:dyDescent="0.2">
      <c r="A19" s="145">
        <f>'كـشـف حضور يومي'!CD1</f>
        <v>1</v>
      </c>
      <c r="B19" s="146" t="str">
        <f>'كـشـف حضور يومي'!CD2</f>
        <v>السبت</v>
      </c>
      <c r="C19" s="217"/>
      <c r="D19" s="105">
        <f>'كـشـف حضور يومي'!CD11</f>
        <v>0</v>
      </c>
      <c r="E19" s="105">
        <f>'كـشـف حضور يومي'!CE11</f>
        <v>0</v>
      </c>
      <c r="F19" s="106">
        <f>H19-مراجع!$B$2</f>
        <v>-0.33333333333333331</v>
      </c>
      <c r="G19" s="106">
        <f>مراجع!$B$2-H19</f>
        <v>0.33333333333333331</v>
      </c>
      <c r="H19" s="105">
        <f t="shared" si="0"/>
        <v>0</v>
      </c>
      <c r="I19" s="107">
        <f>'كـشـف حضور يومي'!CI11</f>
        <v>0</v>
      </c>
    </row>
    <row r="20" spans="1:15" ht="21.95" customHeight="1" x14ac:dyDescent="0.2">
      <c r="A20" s="145">
        <f>'كـشـف حضور يومي'!CJ1</f>
        <v>1</v>
      </c>
      <c r="B20" s="146" t="str">
        <f>'كـشـف حضور يومي'!CJ2</f>
        <v>السبت</v>
      </c>
      <c r="C20" s="217"/>
      <c r="D20" s="105">
        <f>'كـشـف حضور يومي'!CJ11</f>
        <v>0</v>
      </c>
      <c r="E20" s="105">
        <f>'كـشـف حضور يومي'!CK11</f>
        <v>0</v>
      </c>
      <c r="F20" s="106">
        <f>H20-مراجع!$B$2</f>
        <v>-0.33333333333333331</v>
      </c>
      <c r="G20" s="106">
        <f>مراجع!$B$2-H20</f>
        <v>0.33333333333333331</v>
      </c>
      <c r="H20" s="105">
        <f t="shared" si="0"/>
        <v>0</v>
      </c>
      <c r="I20" s="107">
        <f>'كـشـف حضور يومي'!CO11</f>
        <v>0</v>
      </c>
      <c r="O20" s="91"/>
    </row>
    <row r="21" spans="1:15" ht="21.95" customHeight="1" x14ac:dyDescent="0.2">
      <c r="A21" s="145">
        <f>'كـشـف حضور يومي'!CP1</f>
        <v>1</v>
      </c>
      <c r="B21" s="146" t="str">
        <f>'كـشـف حضور يومي'!CP2</f>
        <v>السبت</v>
      </c>
      <c r="C21" s="217"/>
      <c r="D21" s="105">
        <f>'كـشـف حضور يومي'!CP11</f>
        <v>0</v>
      </c>
      <c r="E21" s="105">
        <f>'كـشـف حضور يومي'!CQ11</f>
        <v>0</v>
      </c>
      <c r="F21" s="106">
        <f>H21-مراجع!$B$2</f>
        <v>-0.33333333333333331</v>
      </c>
      <c r="G21" s="106">
        <f>مراجع!$B$2-H21</f>
        <v>0.33333333333333331</v>
      </c>
      <c r="H21" s="105">
        <f t="shared" si="0"/>
        <v>0</v>
      </c>
      <c r="I21" s="107">
        <f>'كـشـف حضور يومي'!CU11</f>
        <v>0</v>
      </c>
    </row>
    <row r="22" spans="1:15" ht="21.95" customHeight="1" x14ac:dyDescent="0.2">
      <c r="A22" s="145">
        <f>'كـشـف حضور يومي'!CV1</f>
        <v>1</v>
      </c>
      <c r="B22" s="146" t="str">
        <f>'كـشـف حضور يومي'!CV2</f>
        <v>السبت</v>
      </c>
      <c r="C22" s="217"/>
      <c r="D22" s="105">
        <f>'كـشـف حضور يومي'!CV11</f>
        <v>0</v>
      </c>
      <c r="E22" s="105">
        <f>'كـشـف حضور يومي'!CW11</f>
        <v>0</v>
      </c>
      <c r="F22" s="106">
        <f>H22-مراجع!$B$2</f>
        <v>-0.33333333333333331</v>
      </c>
      <c r="G22" s="106">
        <f>مراجع!$B$2-H22</f>
        <v>0.33333333333333331</v>
      </c>
      <c r="H22" s="105">
        <f t="shared" si="0"/>
        <v>0</v>
      </c>
      <c r="I22" s="107">
        <f>'كـشـف حضور يومي'!DA11</f>
        <v>0</v>
      </c>
    </row>
    <row r="23" spans="1:15" ht="21.95" customHeight="1" x14ac:dyDescent="0.2">
      <c r="A23" s="145">
        <f>'كـشـف حضور يومي'!DB1</f>
        <v>1</v>
      </c>
      <c r="B23" s="146" t="str">
        <f>'كـشـف حضور يومي'!DB2</f>
        <v>السبت</v>
      </c>
      <c r="C23" s="217"/>
      <c r="D23" s="105">
        <f>'كـشـف حضور يومي'!DB11</f>
        <v>0</v>
      </c>
      <c r="E23" s="105">
        <f>'كـشـف حضور يومي'!DC11</f>
        <v>0</v>
      </c>
      <c r="F23" s="106">
        <f>H23-مراجع!$B$2</f>
        <v>-0.33333333333333331</v>
      </c>
      <c r="G23" s="106">
        <f>مراجع!$B$2-H23</f>
        <v>0.33333333333333331</v>
      </c>
      <c r="H23" s="105">
        <f t="shared" si="0"/>
        <v>0</v>
      </c>
      <c r="I23" s="107">
        <f>'كـشـف حضور يومي'!DG11</f>
        <v>0</v>
      </c>
    </row>
    <row r="24" spans="1:15" ht="21.95" customHeight="1" x14ac:dyDescent="0.2">
      <c r="A24" s="145">
        <f>'كـشـف حضور يومي'!DH1</f>
        <v>1</v>
      </c>
      <c r="B24" s="146" t="str">
        <f>'كـشـف حضور يومي'!DH2</f>
        <v>السبت</v>
      </c>
      <c r="C24" s="217"/>
      <c r="D24" s="105">
        <f>'كـشـف حضور يومي'!DH11</f>
        <v>0</v>
      </c>
      <c r="E24" s="105">
        <f>'كـشـف حضور يومي'!DI11</f>
        <v>0</v>
      </c>
      <c r="F24" s="106">
        <f>H24-مراجع!$B$2</f>
        <v>-0.33333333333333331</v>
      </c>
      <c r="G24" s="106">
        <f>مراجع!$B$2-H24</f>
        <v>0.33333333333333331</v>
      </c>
      <c r="H24" s="105">
        <f t="shared" si="0"/>
        <v>0</v>
      </c>
      <c r="I24" s="107">
        <f>'كـشـف حضور يومي'!DM11</f>
        <v>0</v>
      </c>
    </row>
    <row r="25" spans="1:15" ht="21.95" customHeight="1" x14ac:dyDescent="0.2">
      <c r="A25" s="145">
        <f>'كـشـف حضور يومي'!DN1</f>
        <v>1</v>
      </c>
      <c r="B25" s="146" t="str">
        <f>'كـشـف حضور يومي'!DN2</f>
        <v>السبت</v>
      </c>
      <c r="C25" s="217"/>
      <c r="D25" s="105">
        <f>'كـشـف حضور يومي'!DN11</f>
        <v>0</v>
      </c>
      <c r="E25" s="105">
        <f>'كـشـف حضور يومي'!DO11</f>
        <v>0</v>
      </c>
      <c r="F25" s="106">
        <f>H25-مراجع!$B$2</f>
        <v>-0.33333333333333331</v>
      </c>
      <c r="G25" s="106">
        <f>مراجع!$B$2-H25</f>
        <v>0.33333333333333331</v>
      </c>
      <c r="H25" s="105">
        <f t="shared" si="0"/>
        <v>0</v>
      </c>
      <c r="I25" s="107">
        <f>'كـشـف حضور يومي'!DS11</f>
        <v>0</v>
      </c>
    </row>
    <row r="26" spans="1:15" ht="21.95" customHeight="1" x14ac:dyDescent="0.2">
      <c r="A26" s="145">
        <f>'كـشـف حضور يومي'!DT1</f>
        <v>1</v>
      </c>
      <c r="B26" s="146" t="str">
        <f>'كـشـف حضور يومي'!DT2</f>
        <v>السبت</v>
      </c>
      <c r="C26" s="217"/>
      <c r="D26" s="105">
        <f>'كـشـف حضور يومي'!DT11</f>
        <v>0</v>
      </c>
      <c r="E26" s="105">
        <f>'كـشـف حضور يومي'!DU11</f>
        <v>0</v>
      </c>
      <c r="F26" s="106">
        <f>H26-مراجع!$B$2</f>
        <v>-0.33333333333333331</v>
      </c>
      <c r="G26" s="106">
        <f>مراجع!$B$2-H26</f>
        <v>0.33333333333333331</v>
      </c>
      <c r="H26" s="105">
        <f t="shared" si="0"/>
        <v>0</v>
      </c>
      <c r="I26" s="107">
        <f>'كـشـف حضور يومي'!DY11</f>
        <v>0</v>
      </c>
    </row>
    <row r="27" spans="1:15" ht="21.95" customHeight="1" x14ac:dyDescent="0.2">
      <c r="A27" s="145">
        <f>'كـشـف حضور يومي'!DZ1</f>
        <v>1</v>
      </c>
      <c r="B27" s="146" t="str">
        <f>'كـشـف حضور يومي'!DZ2</f>
        <v>السبت</v>
      </c>
      <c r="C27" s="217"/>
      <c r="D27" s="105">
        <f>'كـشـف حضور يومي'!DZ11</f>
        <v>0</v>
      </c>
      <c r="E27" s="105">
        <f>'كـشـف حضور يومي'!EA11</f>
        <v>0</v>
      </c>
      <c r="F27" s="106">
        <f>H27-مراجع!$B$2</f>
        <v>-0.33333333333333331</v>
      </c>
      <c r="G27" s="106">
        <f>مراجع!$B$2-H27</f>
        <v>0.33333333333333331</v>
      </c>
      <c r="H27" s="105">
        <f t="shared" si="0"/>
        <v>0</v>
      </c>
      <c r="I27" s="107">
        <f>'كـشـف حضور يومي'!EE11</f>
        <v>0</v>
      </c>
    </row>
    <row r="28" spans="1:15" ht="21.95" customHeight="1" x14ac:dyDescent="0.2">
      <c r="A28" s="145">
        <f>'كـشـف حضور يومي'!EF1</f>
        <v>1</v>
      </c>
      <c r="B28" s="146" t="str">
        <f>'كـشـف حضور يومي'!EF2</f>
        <v>السبت</v>
      </c>
      <c r="C28" s="217"/>
      <c r="D28" s="105">
        <f>'كـشـف حضور يومي'!EF11</f>
        <v>0</v>
      </c>
      <c r="E28" s="105">
        <f>'كـشـف حضور يومي'!EG11</f>
        <v>0</v>
      </c>
      <c r="F28" s="106">
        <f>H28-مراجع!$B$2</f>
        <v>-0.33333333333333331</v>
      </c>
      <c r="G28" s="106">
        <f>مراجع!$B$2-H28</f>
        <v>0.33333333333333331</v>
      </c>
      <c r="H28" s="105">
        <f t="shared" si="0"/>
        <v>0</v>
      </c>
      <c r="I28" s="107">
        <f>'كـشـف حضور يومي'!EK11</f>
        <v>0</v>
      </c>
    </row>
    <row r="29" spans="1:15" ht="21.95" customHeight="1" x14ac:dyDescent="0.2">
      <c r="A29" s="145">
        <f>'كـشـف حضور يومي'!EL1</f>
        <v>1</v>
      </c>
      <c r="B29" s="146" t="str">
        <f>'كـشـف حضور يومي'!EL2</f>
        <v>السبت</v>
      </c>
      <c r="C29" s="217"/>
      <c r="D29" s="105">
        <f>'كـشـف حضور يومي'!EL11</f>
        <v>0</v>
      </c>
      <c r="E29" s="105">
        <f>'كـشـف حضور يومي'!EM11</f>
        <v>0</v>
      </c>
      <c r="F29" s="106">
        <f>H29-مراجع!$B$2</f>
        <v>-0.33333333333333331</v>
      </c>
      <c r="G29" s="106">
        <f>مراجع!$B$2-H29</f>
        <v>0.33333333333333331</v>
      </c>
      <c r="H29" s="105">
        <f t="shared" si="0"/>
        <v>0</v>
      </c>
      <c r="I29" s="107">
        <f>'كـشـف حضور يومي'!EQ11</f>
        <v>0</v>
      </c>
    </row>
    <row r="30" spans="1:15" ht="21.95" customHeight="1" x14ac:dyDescent="0.2">
      <c r="A30" s="145">
        <f>'كـشـف حضور يومي'!ER1</f>
        <v>1</v>
      </c>
      <c r="B30" s="146" t="str">
        <f>'كـشـف حضور يومي'!ER2</f>
        <v>السبت</v>
      </c>
      <c r="C30" s="217"/>
      <c r="D30" s="105">
        <f>'كـشـف حضور يومي'!ER11</f>
        <v>0</v>
      </c>
      <c r="E30" s="105">
        <f>'كـشـف حضور يومي'!ES11</f>
        <v>0</v>
      </c>
      <c r="F30" s="106">
        <f>H30-مراجع!$B$2</f>
        <v>-0.33333333333333331</v>
      </c>
      <c r="G30" s="106">
        <f>مراجع!$B$2-H30</f>
        <v>0.33333333333333331</v>
      </c>
      <c r="H30" s="105">
        <f t="shared" si="0"/>
        <v>0</v>
      </c>
      <c r="I30" s="107">
        <f>'كـشـف حضور يومي'!EW11</f>
        <v>0</v>
      </c>
    </row>
    <row r="31" spans="1:15" ht="21.95" customHeight="1" x14ac:dyDescent="0.2">
      <c r="A31" s="145">
        <f>'كـشـف حضور يومي'!EX1</f>
        <v>1</v>
      </c>
      <c r="B31" s="146" t="str">
        <f>'كـشـف حضور يومي'!EX2</f>
        <v>السبت</v>
      </c>
      <c r="C31" s="217"/>
      <c r="D31" s="105">
        <f>'كـشـف حضور يومي'!EX11</f>
        <v>0</v>
      </c>
      <c r="E31" s="105">
        <f>'كـشـف حضور يومي'!EY11</f>
        <v>0</v>
      </c>
      <c r="F31" s="106">
        <f>H31-مراجع!$B$2</f>
        <v>-0.33333333333333331</v>
      </c>
      <c r="G31" s="106">
        <f>مراجع!$B$2-H31</f>
        <v>0.33333333333333331</v>
      </c>
      <c r="H31" s="105">
        <f t="shared" si="0"/>
        <v>0</v>
      </c>
      <c r="I31" s="107">
        <f>'كـشـف حضور يومي'!FC11</f>
        <v>0</v>
      </c>
    </row>
    <row r="32" spans="1:15" ht="21.95" customHeight="1" x14ac:dyDescent="0.2">
      <c r="A32" s="145">
        <f>'كـشـف حضور يومي'!FD1</f>
        <v>1</v>
      </c>
      <c r="B32" s="146" t="str">
        <f>'كـشـف حضور يومي'!FD2</f>
        <v>السبت</v>
      </c>
      <c r="C32" s="217"/>
      <c r="D32" s="105">
        <f>'كـشـف حضور يومي'!FD11</f>
        <v>0</v>
      </c>
      <c r="E32" s="105">
        <f>'كـشـف حضور يومي'!FE11</f>
        <v>0</v>
      </c>
      <c r="F32" s="106">
        <f>H32-مراجع!$B$2</f>
        <v>-0.33333333333333331</v>
      </c>
      <c r="G32" s="106">
        <f>مراجع!$B$2-H32</f>
        <v>0.33333333333333331</v>
      </c>
      <c r="H32" s="105">
        <f t="shared" si="0"/>
        <v>0</v>
      </c>
      <c r="I32" s="107">
        <f>'كـشـف حضور يومي'!FI11</f>
        <v>0</v>
      </c>
    </row>
    <row r="33" spans="1:9" ht="21.95" customHeight="1" x14ac:dyDescent="0.2">
      <c r="A33" s="145">
        <f>'كـشـف حضور يومي'!FJ1</f>
        <v>1</v>
      </c>
      <c r="B33" s="146" t="str">
        <f>'كـشـف حضور يومي'!FJ2</f>
        <v>السبت</v>
      </c>
      <c r="C33" s="217"/>
      <c r="D33" s="105">
        <f>'كـشـف حضور يومي'!FJ11</f>
        <v>0</v>
      </c>
      <c r="E33" s="105">
        <f>'كـشـف حضور يومي'!FK11</f>
        <v>0</v>
      </c>
      <c r="F33" s="106">
        <f>H33-مراجع!$B$2</f>
        <v>-0.33333333333333331</v>
      </c>
      <c r="G33" s="106">
        <f>مراجع!$B$2-H33</f>
        <v>0.33333333333333331</v>
      </c>
      <c r="H33" s="105">
        <f t="shared" si="0"/>
        <v>0</v>
      </c>
      <c r="I33" s="107">
        <f>'كـشـف حضور يومي'!FO11</f>
        <v>0</v>
      </c>
    </row>
    <row r="34" spans="1:9" ht="21.95" customHeight="1" x14ac:dyDescent="0.2">
      <c r="A34" s="145">
        <f>'كـشـف حضور يومي'!FP1</f>
        <v>1</v>
      </c>
      <c r="B34" s="146" t="str">
        <f>'كـشـف حضور يومي'!FP2</f>
        <v>السبت</v>
      </c>
      <c r="C34" s="217"/>
      <c r="D34" s="105">
        <f>'كـشـف حضور يومي'!FP11</f>
        <v>0</v>
      </c>
      <c r="E34" s="105">
        <f>'كـشـف حضور يومي'!FQ11</f>
        <v>0</v>
      </c>
      <c r="F34" s="106">
        <f>H34-مراجع!$B$2</f>
        <v>-0.33333333333333331</v>
      </c>
      <c r="G34" s="106">
        <f>مراجع!$B$2-H34</f>
        <v>0.33333333333333331</v>
      </c>
      <c r="H34" s="105">
        <f t="shared" si="0"/>
        <v>0</v>
      </c>
      <c r="I34" s="107">
        <f>'كـشـف حضور يومي'!FU11</f>
        <v>0</v>
      </c>
    </row>
    <row r="35" spans="1:9" ht="21.95" customHeight="1" x14ac:dyDescent="0.2">
      <c r="A35" s="145">
        <f>'كـشـف حضور يومي'!FV1</f>
        <v>1</v>
      </c>
      <c r="B35" s="146" t="str">
        <f>'كـشـف حضور يومي'!FV2</f>
        <v>السبت</v>
      </c>
      <c r="C35" s="217"/>
      <c r="D35" s="105">
        <f>'كـشـف حضور يومي'!FV11</f>
        <v>0</v>
      </c>
      <c r="E35" s="105">
        <f>'كـشـف حضور يومي'!FW11</f>
        <v>0</v>
      </c>
      <c r="F35" s="106">
        <f>H35-مراجع!$B$2</f>
        <v>-0.33333333333333331</v>
      </c>
      <c r="G35" s="106">
        <f>مراجع!$B$2-H35</f>
        <v>0.33333333333333331</v>
      </c>
      <c r="H35" s="105">
        <f t="shared" si="0"/>
        <v>0</v>
      </c>
      <c r="I35" s="107">
        <f>'كـشـف حضور يومي'!GA11</f>
        <v>0</v>
      </c>
    </row>
    <row r="36" spans="1:9" ht="21.95" customHeight="1" x14ac:dyDescent="0.2">
      <c r="A36" s="145">
        <f>'كـشـف حضور يومي'!GB1</f>
        <v>1</v>
      </c>
      <c r="B36" s="146" t="str">
        <f>'كـشـف حضور يومي'!GB2</f>
        <v>السبت</v>
      </c>
      <c r="C36" s="217"/>
      <c r="D36" s="105">
        <f>'كـشـف حضور يومي'!GB11</f>
        <v>0</v>
      </c>
      <c r="E36" s="105">
        <f>'كـشـف حضور يومي'!GC11</f>
        <v>0</v>
      </c>
      <c r="F36" s="106">
        <f>H36-مراجع!$B$2</f>
        <v>-0.33333333333333331</v>
      </c>
      <c r="G36" s="106">
        <f>مراجع!$B$2-H36</f>
        <v>0.33333333333333331</v>
      </c>
      <c r="H36" s="105">
        <f t="shared" si="0"/>
        <v>0</v>
      </c>
      <c r="I36" s="107">
        <f>'كـشـف حضور يومي'!GG11</f>
        <v>0</v>
      </c>
    </row>
    <row r="37" spans="1:9" ht="21.95" customHeight="1" x14ac:dyDescent="0.2">
      <c r="A37" s="216" t="s">
        <v>64</v>
      </c>
      <c r="B37" s="216"/>
      <c r="C37" s="216"/>
      <c r="D37" s="216"/>
      <c r="E37" s="216"/>
      <c r="F37" s="220">
        <f>SUM(H6:H36)</f>
        <v>0</v>
      </c>
      <c r="G37" s="220"/>
      <c r="H37" s="220"/>
      <c r="I37" s="220"/>
    </row>
    <row r="38" spans="1:9" ht="21.95" customHeight="1" x14ac:dyDescent="0.2">
      <c r="A38" s="215" t="s">
        <v>59</v>
      </c>
      <c r="B38" s="215"/>
      <c r="C38" s="215"/>
      <c r="D38" s="215"/>
      <c r="E38" s="215"/>
      <c r="F38" s="221">
        <f>F37*I2*24</f>
        <v>0</v>
      </c>
      <c r="G38" s="221"/>
      <c r="H38" s="221"/>
      <c r="I38" s="221"/>
    </row>
  </sheetData>
  <sheetProtection algorithmName="SHA-512" hashValue="6AJpDFGH/KFzqMWrXqt64IcdiKleE/67ZnocyEpteP7rAC/nT6/rdimlhwEv2BrCyeqjcKs/uPsKHf3XqMznaQ==" saltValue="RHZr7ruchxo1kWG+7gkkoQ==" spinCount="100000" sheet="1" objects="1" scenarios="1"/>
  <mergeCells count="14">
    <mergeCell ref="A37:E37"/>
    <mergeCell ref="F37:I37"/>
    <mergeCell ref="A38:E38"/>
    <mergeCell ref="F38:I38"/>
    <mergeCell ref="A3:I3"/>
    <mergeCell ref="A4:B4"/>
    <mergeCell ref="H4:I4"/>
    <mergeCell ref="C4:E4"/>
    <mergeCell ref="C5:C36"/>
    <mergeCell ref="A1:B1"/>
    <mergeCell ref="D1:F2"/>
    <mergeCell ref="G1:H1"/>
    <mergeCell ref="A2:B2"/>
    <mergeCell ref="G2:H2"/>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2044C6D-8724-447F-BCB3-F19D9C9456A5}">
          <x14:formula1>
            <xm:f>مراجع!$B$4:$B$15</xm:f>
          </x14:formula1>
          <xm:sqref>C4:E4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38"/>
  <sheetViews>
    <sheetView rightToLeft="1" zoomScaleNormal="100" workbookViewId="0">
      <pane ySplit="5" topLeftCell="A6" activePane="bottomLeft" state="frozen"/>
      <selection pane="bottomLeft" activeCell="C5" sqref="C5:C36"/>
    </sheetView>
  </sheetViews>
  <sheetFormatPr defaultColWidth="9.125" defaultRowHeight="21.95" customHeight="1" x14ac:dyDescent="0.2"/>
  <cols>
    <col min="1" max="9" width="12.75" style="86" customWidth="1"/>
    <col min="10" max="10" width="79.625" style="86" customWidth="1"/>
    <col min="11" max="11" width="4.625" style="85" bestFit="1" customWidth="1"/>
    <col min="12" max="12" width="9.125" style="85" bestFit="1" customWidth="1"/>
    <col min="13" max="13" width="6.375" style="85" bestFit="1" customWidth="1"/>
    <col min="14" max="14" width="10.125" style="85" bestFit="1" customWidth="1"/>
    <col min="15" max="15" width="7.875" style="85" bestFit="1" customWidth="1"/>
    <col min="16" max="16" width="9.125" style="85" bestFit="1" customWidth="1"/>
    <col min="17" max="17" width="9.75" style="85" bestFit="1" customWidth="1"/>
    <col min="18" max="18" width="9" style="85" bestFit="1" customWidth="1"/>
    <col min="19" max="20" width="6.625" style="85" bestFit="1" customWidth="1"/>
    <col min="21" max="21" width="10.125" style="85" bestFit="1" customWidth="1"/>
    <col min="22" max="16384" width="9.125" style="85"/>
  </cols>
  <sheetData>
    <row r="1" spans="1:24" ht="21.95" customHeight="1" x14ac:dyDescent="0.2">
      <c r="A1" s="208" t="s">
        <v>43</v>
      </c>
      <c r="B1" s="208"/>
      <c r="C1" s="96" t="s">
        <v>82</v>
      </c>
      <c r="D1" s="209"/>
      <c r="E1" s="209"/>
      <c r="F1" s="209"/>
      <c r="G1" s="208" t="s">
        <v>21</v>
      </c>
      <c r="H1" s="208"/>
      <c r="I1" s="97" t="s">
        <v>82</v>
      </c>
      <c r="J1"/>
      <c r="K1"/>
      <c r="N1" s="89"/>
      <c r="O1" s="89"/>
      <c r="P1" s="89"/>
      <c r="Q1" s="89"/>
      <c r="R1" s="89"/>
      <c r="S1" s="89"/>
      <c r="T1" s="89"/>
      <c r="U1" s="89"/>
      <c r="V1" s="89"/>
      <c r="W1" s="89"/>
      <c r="X1" s="89"/>
    </row>
    <row r="2" spans="1:24" ht="21.95" customHeight="1" x14ac:dyDescent="0.2">
      <c r="A2" s="207" t="s">
        <v>52</v>
      </c>
      <c r="B2" s="207"/>
      <c r="C2" s="98" t="s">
        <v>82</v>
      </c>
      <c r="D2" s="209"/>
      <c r="E2" s="209"/>
      <c r="F2" s="209"/>
      <c r="G2" s="207" t="s">
        <v>53</v>
      </c>
      <c r="H2" s="207"/>
      <c r="I2" s="99">
        <v>15</v>
      </c>
      <c r="J2"/>
      <c r="K2"/>
      <c r="L2" s="118"/>
      <c r="O2" s="87"/>
      <c r="P2" s="88"/>
      <c r="Q2" s="88"/>
      <c r="R2" s="88"/>
      <c r="S2" s="88"/>
      <c r="T2" s="88"/>
      <c r="U2" s="88"/>
      <c r="V2" s="88"/>
      <c r="W2" s="88"/>
      <c r="X2" s="88"/>
    </row>
    <row r="3" spans="1:24" ht="21.95" customHeight="1" x14ac:dyDescent="0.2">
      <c r="A3" s="223" t="s">
        <v>38</v>
      </c>
      <c r="B3" s="223"/>
      <c r="C3" s="223"/>
      <c r="D3" s="223"/>
      <c r="E3" s="223"/>
      <c r="F3" s="223"/>
      <c r="G3" s="223"/>
      <c r="H3" s="223"/>
      <c r="I3" s="223"/>
      <c r="J3" s="92"/>
      <c r="K3" s="86"/>
      <c r="L3" s="86"/>
      <c r="M3" s="86"/>
      <c r="N3" s="86"/>
      <c r="O3" s="86"/>
      <c r="P3" s="86"/>
      <c r="Q3" s="90"/>
      <c r="R3" s="90"/>
      <c r="S3" s="90"/>
      <c r="T3" s="90"/>
    </row>
    <row r="4" spans="1:24" ht="21.95" customHeight="1" x14ac:dyDescent="0.2">
      <c r="A4" s="213" t="s">
        <v>4</v>
      </c>
      <c r="B4" s="213"/>
      <c r="C4" s="213" t="s">
        <v>42</v>
      </c>
      <c r="D4" s="213"/>
      <c r="E4" s="213"/>
      <c r="F4" s="144" t="s">
        <v>54</v>
      </c>
      <c r="G4" s="144"/>
      <c r="H4" s="214" t="s">
        <v>82</v>
      </c>
      <c r="I4" s="214"/>
      <c r="J4" s="92"/>
      <c r="K4" s="86"/>
      <c r="L4" s="86"/>
      <c r="M4" s="86"/>
      <c r="N4" s="86"/>
      <c r="O4" s="86"/>
      <c r="P4" s="86"/>
      <c r="Q4" s="90"/>
      <c r="R4" s="90"/>
      <c r="S4" s="90"/>
      <c r="T4" s="90"/>
    </row>
    <row r="5" spans="1:24" ht="21.95" customHeight="1" x14ac:dyDescent="0.2">
      <c r="A5" s="100" t="s">
        <v>56</v>
      </c>
      <c r="B5" s="100" t="s">
        <v>55</v>
      </c>
      <c r="C5" s="217"/>
      <c r="D5" s="102" t="s">
        <v>23</v>
      </c>
      <c r="E5" s="102" t="s">
        <v>24</v>
      </c>
      <c r="F5" s="103" t="s">
        <v>57</v>
      </c>
      <c r="G5" s="104" t="s">
        <v>58</v>
      </c>
      <c r="H5" s="102" t="s">
        <v>17</v>
      </c>
      <c r="I5" s="102" t="s">
        <v>25</v>
      </c>
      <c r="J5" s="93"/>
    </row>
    <row r="6" spans="1:24" ht="21.95" customHeight="1" x14ac:dyDescent="0.2">
      <c r="A6" s="145">
        <f>'كـشـف حضور يومي'!D1</f>
        <v>1</v>
      </c>
      <c r="B6" s="146" t="str">
        <f>'كـشـف حضور يومي'!D2</f>
        <v>السبت</v>
      </c>
      <c r="C6" s="217"/>
      <c r="D6" s="105">
        <f>'كـشـف حضور يومي'!D12</f>
        <v>0</v>
      </c>
      <c r="E6" s="105">
        <f>'كـشـف حضور يومي'!E12</f>
        <v>0</v>
      </c>
      <c r="F6" s="106">
        <f>H6-مراجع!$B$2</f>
        <v>-0.33333333333333331</v>
      </c>
      <c r="G6" s="106">
        <f>مراجع!$B$2-H6</f>
        <v>0.33333333333333331</v>
      </c>
      <c r="H6" s="105">
        <f>SUM(E6-D6)</f>
        <v>0</v>
      </c>
      <c r="I6" s="107">
        <f>'كـشـف حضور يومي'!I12</f>
        <v>0</v>
      </c>
      <c r="J6" s="94"/>
    </row>
    <row r="7" spans="1:24" ht="21.95" customHeight="1" x14ac:dyDescent="0.2">
      <c r="A7" s="145">
        <f>'كـشـف حضور يومي'!J1</f>
        <v>1</v>
      </c>
      <c r="B7" s="146" t="str">
        <f>'كـشـف حضور يومي'!J2</f>
        <v>السبت</v>
      </c>
      <c r="C7" s="217"/>
      <c r="D7" s="105">
        <f>'كـشـف حضور يومي'!J12</f>
        <v>0</v>
      </c>
      <c r="E7" s="105">
        <f>'كـشـف حضور يومي'!K12</f>
        <v>0</v>
      </c>
      <c r="F7" s="106">
        <f>H7-مراجع!$B$2</f>
        <v>-0.33333333333333331</v>
      </c>
      <c r="G7" s="106">
        <f>مراجع!$B$2-H7</f>
        <v>0.33333333333333331</v>
      </c>
      <c r="H7" s="105">
        <f>SUM(E7-D7)</f>
        <v>0</v>
      </c>
      <c r="I7" s="107">
        <f>'كـشـف حضور يومي'!O12</f>
        <v>0</v>
      </c>
      <c r="J7" s="94"/>
    </row>
    <row r="8" spans="1:24" ht="21.95" customHeight="1" x14ac:dyDescent="0.2">
      <c r="A8" s="145">
        <f>'كـشـف حضور يومي'!P1</f>
        <v>1</v>
      </c>
      <c r="B8" s="146" t="str">
        <f>'كـشـف حضور يومي'!P2</f>
        <v>السبت</v>
      </c>
      <c r="C8" s="217"/>
      <c r="D8" s="105">
        <f>'كـشـف حضور يومي'!P12</f>
        <v>0</v>
      </c>
      <c r="E8" s="105">
        <f>'كـشـف حضور يومي'!Q12</f>
        <v>0</v>
      </c>
      <c r="F8" s="106">
        <f>H8-مراجع!$B$2</f>
        <v>-0.33333333333333331</v>
      </c>
      <c r="G8" s="106">
        <f>مراجع!$B$2-H8</f>
        <v>0.33333333333333331</v>
      </c>
      <c r="H8" s="105">
        <f t="shared" ref="H8:H36" si="0">SUM(E8-D8)</f>
        <v>0</v>
      </c>
      <c r="I8" s="107">
        <f>'كـشـف حضور يومي'!U12</f>
        <v>0</v>
      </c>
      <c r="J8" s="94"/>
    </row>
    <row r="9" spans="1:24" ht="21.95" customHeight="1" x14ac:dyDescent="0.2">
      <c r="A9" s="145">
        <f>'كـشـف حضور يومي'!V1</f>
        <v>1</v>
      </c>
      <c r="B9" s="147" t="str">
        <f>'كـشـف حضور يومي'!V2</f>
        <v>السبت</v>
      </c>
      <c r="C9" s="217"/>
      <c r="D9" s="105">
        <f>'كـشـف حضور يومي'!V12</f>
        <v>0</v>
      </c>
      <c r="E9" s="105">
        <f>'كـشـف حضور يومي'!W12</f>
        <v>0</v>
      </c>
      <c r="F9" s="106">
        <f>H9-مراجع!$B$2</f>
        <v>-0.33333333333333331</v>
      </c>
      <c r="G9" s="106">
        <f>مراجع!$B$2-H9</f>
        <v>0.33333333333333331</v>
      </c>
      <c r="H9" s="105">
        <f t="shared" si="0"/>
        <v>0</v>
      </c>
      <c r="I9" s="107">
        <f>'كـشـف حضور يومي'!AA12</f>
        <v>0</v>
      </c>
      <c r="J9" s="94"/>
    </row>
    <row r="10" spans="1:24" ht="21.95" customHeight="1" x14ac:dyDescent="0.2">
      <c r="A10" s="145">
        <f>'كـشـف حضور يومي'!AB1</f>
        <v>1</v>
      </c>
      <c r="B10" s="146" t="str">
        <f>'كـشـف حضور يومي'!AB2</f>
        <v>السبت</v>
      </c>
      <c r="C10" s="217"/>
      <c r="D10" s="105">
        <f>'كـشـف حضور يومي'!AB12</f>
        <v>0</v>
      </c>
      <c r="E10" s="105">
        <f>'كـشـف حضور يومي'!AC12</f>
        <v>0</v>
      </c>
      <c r="F10" s="106">
        <f>H10-مراجع!$B$2</f>
        <v>-0.33333333333333331</v>
      </c>
      <c r="G10" s="106">
        <f>مراجع!$B$2-H10</f>
        <v>0.33333333333333331</v>
      </c>
      <c r="H10" s="105">
        <f t="shared" si="0"/>
        <v>0</v>
      </c>
      <c r="I10" s="107">
        <f>'كـشـف حضور يومي'!AG12</f>
        <v>0</v>
      </c>
      <c r="J10" s="94"/>
    </row>
    <row r="11" spans="1:24" ht="21.95" customHeight="1" x14ac:dyDescent="0.2">
      <c r="A11" s="145">
        <f>'كـشـف حضور يومي'!AH1</f>
        <v>1</v>
      </c>
      <c r="B11" s="146" t="str">
        <f>'كـشـف حضور يومي'!AH2</f>
        <v>السبت</v>
      </c>
      <c r="C11" s="217"/>
      <c r="D11" s="105">
        <f>'كـشـف حضور يومي'!AH12</f>
        <v>0</v>
      </c>
      <c r="E11" s="105">
        <f>'كـشـف حضور يومي'!AI12</f>
        <v>0</v>
      </c>
      <c r="F11" s="106">
        <f>H11-مراجع!$B$2</f>
        <v>-0.33333333333333331</v>
      </c>
      <c r="G11" s="106">
        <f>مراجع!$B$2-H11</f>
        <v>0.33333333333333331</v>
      </c>
      <c r="H11" s="105">
        <f t="shared" si="0"/>
        <v>0</v>
      </c>
      <c r="I11" s="107">
        <f>'كـشـف حضور يومي'!AM12</f>
        <v>0</v>
      </c>
      <c r="J11" s="94"/>
    </row>
    <row r="12" spans="1:24" ht="21.95" customHeight="1" x14ac:dyDescent="0.2">
      <c r="A12" s="145">
        <f>'كـشـف حضور يومي'!AN1</f>
        <v>1</v>
      </c>
      <c r="B12" s="146" t="str">
        <f>'كـشـف حضور يومي'!AN2</f>
        <v>السبت</v>
      </c>
      <c r="C12" s="217"/>
      <c r="D12" s="105">
        <f>'كـشـف حضور يومي'!AN12</f>
        <v>0</v>
      </c>
      <c r="E12" s="105">
        <f>'كـشـف حضور يومي'!AO12</f>
        <v>0</v>
      </c>
      <c r="F12" s="106">
        <f>H12-مراجع!$B$2</f>
        <v>-0.33333333333333331</v>
      </c>
      <c r="G12" s="106">
        <f>مراجع!$B$2-H12</f>
        <v>0.33333333333333331</v>
      </c>
      <c r="H12" s="105">
        <f t="shared" si="0"/>
        <v>0</v>
      </c>
      <c r="I12" s="107">
        <f>'كـشـف حضور يومي'!AS12</f>
        <v>0</v>
      </c>
      <c r="J12" s="94"/>
    </row>
    <row r="13" spans="1:24" ht="21.95" customHeight="1" x14ac:dyDescent="0.2">
      <c r="A13" s="145">
        <f>'كـشـف حضور يومي'!AT1</f>
        <v>1</v>
      </c>
      <c r="B13" s="146" t="str">
        <f>'كـشـف حضور يومي'!AT2</f>
        <v>السبت</v>
      </c>
      <c r="C13" s="217"/>
      <c r="D13" s="105">
        <f>'كـشـف حضور يومي'!AT12</f>
        <v>0</v>
      </c>
      <c r="E13" s="105">
        <f>'كـشـف حضور يومي'!AU12</f>
        <v>0</v>
      </c>
      <c r="F13" s="106">
        <f>H13-مراجع!$B$2</f>
        <v>-0.33333333333333331</v>
      </c>
      <c r="G13" s="106">
        <f>مراجع!$B$2-H13</f>
        <v>0.33333333333333331</v>
      </c>
      <c r="H13" s="105">
        <f t="shared" si="0"/>
        <v>0</v>
      </c>
      <c r="I13" s="107">
        <f>'كـشـف حضور يومي'!AY12</f>
        <v>0</v>
      </c>
      <c r="J13" s="94"/>
    </row>
    <row r="14" spans="1:24" ht="21.95" customHeight="1" x14ac:dyDescent="0.2">
      <c r="A14" s="145">
        <f>'كـشـف حضور يومي'!AZ1</f>
        <v>1</v>
      </c>
      <c r="B14" s="146" t="str">
        <f>'كـشـف حضور يومي'!AZ2</f>
        <v>السبت</v>
      </c>
      <c r="C14" s="217"/>
      <c r="D14" s="105">
        <f>'كـشـف حضور يومي'!AZ12</f>
        <v>0</v>
      </c>
      <c r="E14" s="105">
        <f>'كـشـف حضور يومي'!BA12</f>
        <v>0</v>
      </c>
      <c r="F14" s="106">
        <f>H14-مراجع!$B$2</f>
        <v>-0.33333333333333331</v>
      </c>
      <c r="G14" s="106">
        <f>مراجع!$B$2-H14</f>
        <v>0.33333333333333331</v>
      </c>
      <c r="H14" s="105">
        <f t="shared" si="0"/>
        <v>0</v>
      </c>
      <c r="I14" s="107">
        <f>'كـشـف حضور يومي'!BE12</f>
        <v>0</v>
      </c>
      <c r="J14" s="94"/>
    </row>
    <row r="15" spans="1:24" ht="21.95" customHeight="1" x14ac:dyDescent="0.2">
      <c r="A15" s="145">
        <f>'كـشـف حضور يومي'!BF1</f>
        <v>1</v>
      </c>
      <c r="B15" s="146" t="str">
        <f>'كـشـف حضور يومي'!BF2</f>
        <v>السبت</v>
      </c>
      <c r="C15" s="217"/>
      <c r="D15" s="105">
        <f>'كـشـف حضور يومي'!BF12</f>
        <v>0</v>
      </c>
      <c r="E15" s="105">
        <f>'كـشـف حضور يومي'!BG12</f>
        <v>0</v>
      </c>
      <c r="F15" s="106">
        <f>H15-مراجع!$B$2</f>
        <v>-0.33333333333333331</v>
      </c>
      <c r="G15" s="106">
        <f>مراجع!$B$2-H15</f>
        <v>0.33333333333333331</v>
      </c>
      <c r="H15" s="105">
        <f t="shared" si="0"/>
        <v>0</v>
      </c>
      <c r="I15" s="107">
        <f>'كـشـف حضور يومي'!BK12</f>
        <v>0</v>
      </c>
      <c r="J15" s="94"/>
    </row>
    <row r="16" spans="1:24" ht="21.95" customHeight="1" x14ac:dyDescent="0.2">
      <c r="A16" s="145">
        <f>'كـشـف حضور يومي'!BL1</f>
        <v>1</v>
      </c>
      <c r="B16" s="146" t="str">
        <f>'كـشـف حضور يومي'!BL2</f>
        <v>السبت</v>
      </c>
      <c r="C16" s="217"/>
      <c r="D16" s="105">
        <f>'كـشـف حضور يومي'!BL12</f>
        <v>0</v>
      </c>
      <c r="E16" s="105">
        <f>'كـشـف حضور يومي'!BM12</f>
        <v>0</v>
      </c>
      <c r="F16" s="106">
        <f>H16-مراجع!$B$2</f>
        <v>-0.33333333333333331</v>
      </c>
      <c r="G16" s="106">
        <f>مراجع!$B$2-H16</f>
        <v>0.33333333333333331</v>
      </c>
      <c r="H16" s="105">
        <f t="shared" si="0"/>
        <v>0</v>
      </c>
      <c r="I16" s="107">
        <f>'كـشـف حضور يومي'!BQ12</f>
        <v>0</v>
      </c>
      <c r="J16" s="94"/>
    </row>
    <row r="17" spans="1:15" ht="21.95" customHeight="1" x14ac:dyDescent="0.2">
      <c r="A17" s="145">
        <f>'كـشـف حضور يومي'!BR1</f>
        <v>1</v>
      </c>
      <c r="B17" s="146" t="str">
        <f>'كـشـف حضور يومي'!BR2</f>
        <v>السبت</v>
      </c>
      <c r="C17" s="217"/>
      <c r="D17" s="105">
        <f>'كـشـف حضور يومي'!BR12</f>
        <v>0</v>
      </c>
      <c r="E17" s="105">
        <f>'كـشـف حضور يومي'!BS12</f>
        <v>0</v>
      </c>
      <c r="F17" s="106">
        <f>H17-مراجع!$B$2</f>
        <v>-0.33333333333333331</v>
      </c>
      <c r="G17" s="106">
        <f>مراجع!$B$2-H17</f>
        <v>0.33333333333333331</v>
      </c>
      <c r="H17" s="105">
        <f t="shared" si="0"/>
        <v>0</v>
      </c>
      <c r="I17" s="107">
        <f>'كـشـف حضور يومي'!BW12</f>
        <v>0</v>
      </c>
      <c r="J17" s="94"/>
    </row>
    <row r="18" spans="1:15" ht="21.95" customHeight="1" x14ac:dyDescent="0.2">
      <c r="A18" s="145">
        <f>'كـشـف حضور يومي'!BX1</f>
        <v>1</v>
      </c>
      <c r="B18" s="146" t="str">
        <f>'كـشـف حضور يومي'!BX2</f>
        <v>السبت</v>
      </c>
      <c r="C18" s="217"/>
      <c r="D18" s="105">
        <f>'كـشـف حضور يومي'!BX12</f>
        <v>0</v>
      </c>
      <c r="E18" s="105">
        <f>'كـشـف حضور يومي'!BY12</f>
        <v>0</v>
      </c>
      <c r="F18" s="106">
        <f>H18-مراجع!$B$2</f>
        <v>-0.33333333333333331</v>
      </c>
      <c r="G18" s="106">
        <f>مراجع!$B$2-H18</f>
        <v>0.33333333333333331</v>
      </c>
      <c r="H18" s="105">
        <f t="shared" si="0"/>
        <v>0</v>
      </c>
      <c r="I18" s="107">
        <f>'كـشـف حضور يومي'!CC12</f>
        <v>0</v>
      </c>
    </row>
    <row r="19" spans="1:15" ht="21.95" customHeight="1" x14ac:dyDescent="0.2">
      <c r="A19" s="145">
        <f>'كـشـف حضور يومي'!CD1</f>
        <v>1</v>
      </c>
      <c r="B19" s="146" t="str">
        <f>'كـشـف حضور يومي'!CD2</f>
        <v>السبت</v>
      </c>
      <c r="C19" s="217"/>
      <c r="D19" s="105">
        <f>'كـشـف حضور يومي'!CD12</f>
        <v>0</v>
      </c>
      <c r="E19" s="105">
        <f>'كـشـف حضور يومي'!CE12</f>
        <v>0</v>
      </c>
      <c r="F19" s="106">
        <f>H19-مراجع!$B$2</f>
        <v>-0.33333333333333331</v>
      </c>
      <c r="G19" s="106">
        <f>مراجع!$B$2-H19</f>
        <v>0.33333333333333331</v>
      </c>
      <c r="H19" s="105">
        <f t="shared" si="0"/>
        <v>0</v>
      </c>
      <c r="I19" s="107">
        <f>'كـشـف حضور يومي'!CI12</f>
        <v>0</v>
      </c>
    </row>
    <row r="20" spans="1:15" ht="21.95" customHeight="1" x14ac:dyDescent="0.2">
      <c r="A20" s="145">
        <f>'كـشـف حضور يومي'!CJ1</f>
        <v>1</v>
      </c>
      <c r="B20" s="146" t="str">
        <f>'كـشـف حضور يومي'!CJ2</f>
        <v>السبت</v>
      </c>
      <c r="C20" s="217"/>
      <c r="D20" s="105">
        <f>'كـشـف حضور يومي'!CJ12</f>
        <v>0</v>
      </c>
      <c r="E20" s="105">
        <f>'كـشـف حضور يومي'!CK12</f>
        <v>0</v>
      </c>
      <c r="F20" s="106">
        <f>H20-مراجع!$B$2</f>
        <v>-0.33333333333333331</v>
      </c>
      <c r="G20" s="106">
        <f>مراجع!$B$2-H20</f>
        <v>0.33333333333333331</v>
      </c>
      <c r="H20" s="105">
        <f t="shared" si="0"/>
        <v>0</v>
      </c>
      <c r="I20" s="107">
        <f>'كـشـف حضور يومي'!CO12</f>
        <v>0</v>
      </c>
      <c r="O20" s="91"/>
    </row>
    <row r="21" spans="1:15" ht="21.95" customHeight="1" x14ac:dyDescent="0.2">
      <c r="A21" s="145">
        <f>'كـشـف حضور يومي'!CP1</f>
        <v>1</v>
      </c>
      <c r="B21" s="146" t="str">
        <f>'كـشـف حضور يومي'!CP2</f>
        <v>السبت</v>
      </c>
      <c r="C21" s="217"/>
      <c r="D21" s="105">
        <f>'كـشـف حضور يومي'!CP12</f>
        <v>0</v>
      </c>
      <c r="E21" s="105">
        <f>'كـشـف حضور يومي'!CQ12</f>
        <v>0</v>
      </c>
      <c r="F21" s="106">
        <f>H21-مراجع!$B$2</f>
        <v>-0.33333333333333331</v>
      </c>
      <c r="G21" s="106">
        <f>مراجع!$B$2-H21</f>
        <v>0.33333333333333331</v>
      </c>
      <c r="H21" s="105">
        <f t="shared" si="0"/>
        <v>0</v>
      </c>
      <c r="I21" s="107">
        <f>'كـشـف حضور يومي'!CU12</f>
        <v>0</v>
      </c>
    </row>
    <row r="22" spans="1:15" ht="21.95" customHeight="1" x14ac:dyDescent="0.2">
      <c r="A22" s="145">
        <f>'كـشـف حضور يومي'!CV1</f>
        <v>1</v>
      </c>
      <c r="B22" s="146" t="str">
        <f>'كـشـف حضور يومي'!CV2</f>
        <v>السبت</v>
      </c>
      <c r="C22" s="217"/>
      <c r="D22" s="105">
        <f>'كـشـف حضور يومي'!CV12</f>
        <v>0</v>
      </c>
      <c r="E22" s="105">
        <f>'كـشـف حضور يومي'!CW12</f>
        <v>0</v>
      </c>
      <c r="F22" s="106">
        <f>H22-مراجع!$B$2</f>
        <v>-0.33333333333333331</v>
      </c>
      <c r="G22" s="106">
        <f>مراجع!$B$2-H22</f>
        <v>0.33333333333333331</v>
      </c>
      <c r="H22" s="105">
        <f t="shared" si="0"/>
        <v>0</v>
      </c>
      <c r="I22" s="107">
        <f>'كـشـف حضور يومي'!DA12</f>
        <v>0</v>
      </c>
    </row>
    <row r="23" spans="1:15" ht="21.95" customHeight="1" x14ac:dyDescent="0.2">
      <c r="A23" s="145">
        <f>'كـشـف حضور يومي'!DB1</f>
        <v>1</v>
      </c>
      <c r="B23" s="146" t="str">
        <f>'كـشـف حضور يومي'!DB2</f>
        <v>السبت</v>
      </c>
      <c r="C23" s="217"/>
      <c r="D23" s="105">
        <f>'كـشـف حضور يومي'!DB12</f>
        <v>0</v>
      </c>
      <c r="E23" s="105">
        <f>'كـشـف حضور يومي'!DC12</f>
        <v>0</v>
      </c>
      <c r="F23" s="106">
        <f>H23-مراجع!$B$2</f>
        <v>-0.33333333333333331</v>
      </c>
      <c r="G23" s="106">
        <f>مراجع!$B$2-H23</f>
        <v>0.33333333333333331</v>
      </c>
      <c r="H23" s="105">
        <f t="shared" si="0"/>
        <v>0</v>
      </c>
      <c r="I23" s="107">
        <f>'كـشـف حضور يومي'!DG12</f>
        <v>0</v>
      </c>
    </row>
    <row r="24" spans="1:15" ht="21.95" customHeight="1" x14ac:dyDescent="0.2">
      <c r="A24" s="145">
        <f>'كـشـف حضور يومي'!DH1</f>
        <v>1</v>
      </c>
      <c r="B24" s="146" t="str">
        <f>'كـشـف حضور يومي'!DH2</f>
        <v>السبت</v>
      </c>
      <c r="C24" s="217"/>
      <c r="D24" s="105">
        <f>'كـشـف حضور يومي'!DH12</f>
        <v>0</v>
      </c>
      <c r="E24" s="105">
        <f>'كـشـف حضور يومي'!DI12</f>
        <v>0</v>
      </c>
      <c r="F24" s="106">
        <f>H24-مراجع!$B$2</f>
        <v>-0.33333333333333331</v>
      </c>
      <c r="G24" s="106">
        <f>مراجع!$B$2-H24</f>
        <v>0.33333333333333331</v>
      </c>
      <c r="H24" s="105">
        <f t="shared" si="0"/>
        <v>0</v>
      </c>
      <c r="I24" s="107">
        <f>'كـشـف حضور يومي'!DM12</f>
        <v>0</v>
      </c>
    </row>
    <row r="25" spans="1:15" ht="21.95" customHeight="1" x14ac:dyDescent="0.2">
      <c r="A25" s="145">
        <f>'كـشـف حضور يومي'!DN1</f>
        <v>1</v>
      </c>
      <c r="B25" s="146" t="str">
        <f>'كـشـف حضور يومي'!DN2</f>
        <v>السبت</v>
      </c>
      <c r="C25" s="217"/>
      <c r="D25" s="105">
        <f>'كـشـف حضور يومي'!DN12</f>
        <v>0</v>
      </c>
      <c r="E25" s="105">
        <f>'كـشـف حضور يومي'!DO12</f>
        <v>0</v>
      </c>
      <c r="F25" s="106">
        <f>H25-مراجع!$B$2</f>
        <v>-0.33333333333333331</v>
      </c>
      <c r="G25" s="106">
        <f>مراجع!$B$2-H25</f>
        <v>0.33333333333333331</v>
      </c>
      <c r="H25" s="105">
        <f t="shared" si="0"/>
        <v>0</v>
      </c>
      <c r="I25" s="107">
        <f>'كـشـف حضور يومي'!DS12</f>
        <v>0</v>
      </c>
    </row>
    <row r="26" spans="1:15" ht="21.95" customHeight="1" x14ac:dyDescent="0.2">
      <c r="A26" s="145">
        <f>'كـشـف حضور يومي'!DT1</f>
        <v>1</v>
      </c>
      <c r="B26" s="146" t="str">
        <f>'كـشـف حضور يومي'!DT2</f>
        <v>السبت</v>
      </c>
      <c r="C26" s="217"/>
      <c r="D26" s="105">
        <f>'كـشـف حضور يومي'!DT12</f>
        <v>0</v>
      </c>
      <c r="E26" s="105">
        <f>'كـشـف حضور يومي'!DU12</f>
        <v>0</v>
      </c>
      <c r="F26" s="106">
        <f>H26-مراجع!$B$2</f>
        <v>-0.33333333333333331</v>
      </c>
      <c r="G26" s="106">
        <f>مراجع!$B$2-H26</f>
        <v>0.33333333333333331</v>
      </c>
      <c r="H26" s="105">
        <f t="shared" si="0"/>
        <v>0</v>
      </c>
      <c r="I26" s="107">
        <f>'كـشـف حضور يومي'!DY12</f>
        <v>0</v>
      </c>
    </row>
    <row r="27" spans="1:15" ht="21.95" customHeight="1" x14ac:dyDescent="0.2">
      <c r="A27" s="145">
        <f>'كـشـف حضور يومي'!DZ1</f>
        <v>1</v>
      </c>
      <c r="B27" s="146" t="str">
        <f>'كـشـف حضور يومي'!DZ2</f>
        <v>السبت</v>
      </c>
      <c r="C27" s="217"/>
      <c r="D27" s="105">
        <f>'كـشـف حضور يومي'!DZ12</f>
        <v>0</v>
      </c>
      <c r="E27" s="105">
        <f>'كـشـف حضور يومي'!EA12</f>
        <v>0</v>
      </c>
      <c r="F27" s="106">
        <f>H27-مراجع!$B$2</f>
        <v>-0.33333333333333331</v>
      </c>
      <c r="G27" s="106">
        <f>مراجع!$B$2-H27</f>
        <v>0.33333333333333331</v>
      </c>
      <c r="H27" s="105">
        <f t="shared" si="0"/>
        <v>0</v>
      </c>
      <c r="I27" s="107">
        <f>'كـشـف حضور يومي'!EE12</f>
        <v>0</v>
      </c>
    </row>
    <row r="28" spans="1:15" ht="21.95" customHeight="1" x14ac:dyDescent="0.2">
      <c r="A28" s="145">
        <f>'كـشـف حضور يومي'!EF1</f>
        <v>1</v>
      </c>
      <c r="B28" s="146" t="str">
        <f>'كـشـف حضور يومي'!EF2</f>
        <v>السبت</v>
      </c>
      <c r="C28" s="217"/>
      <c r="D28" s="105">
        <f>'كـشـف حضور يومي'!EF12</f>
        <v>0</v>
      </c>
      <c r="E28" s="105">
        <f>'كـشـف حضور يومي'!EG12</f>
        <v>0</v>
      </c>
      <c r="F28" s="106">
        <f>H28-مراجع!$B$2</f>
        <v>-0.33333333333333331</v>
      </c>
      <c r="G28" s="106">
        <f>مراجع!$B$2-H28</f>
        <v>0.33333333333333331</v>
      </c>
      <c r="H28" s="105">
        <f t="shared" si="0"/>
        <v>0</v>
      </c>
      <c r="I28" s="107">
        <f>'كـشـف حضور يومي'!EK12</f>
        <v>0</v>
      </c>
    </row>
    <row r="29" spans="1:15" ht="21.95" customHeight="1" x14ac:dyDescent="0.2">
      <c r="A29" s="145">
        <f>'كـشـف حضور يومي'!EL1</f>
        <v>1</v>
      </c>
      <c r="B29" s="146" t="str">
        <f>'كـشـف حضور يومي'!EL2</f>
        <v>السبت</v>
      </c>
      <c r="C29" s="217"/>
      <c r="D29" s="105">
        <f>'كـشـف حضور يومي'!EL12</f>
        <v>0</v>
      </c>
      <c r="E29" s="105">
        <f>'كـشـف حضور يومي'!EM12</f>
        <v>0</v>
      </c>
      <c r="F29" s="106">
        <f>H29-مراجع!$B$2</f>
        <v>-0.33333333333333331</v>
      </c>
      <c r="G29" s="106">
        <f>مراجع!$B$2-H29</f>
        <v>0.33333333333333331</v>
      </c>
      <c r="H29" s="105">
        <f t="shared" si="0"/>
        <v>0</v>
      </c>
      <c r="I29" s="107">
        <f>'كـشـف حضور يومي'!EQ12</f>
        <v>0</v>
      </c>
    </row>
    <row r="30" spans="1:15" ht="21.95" customHeight="1" x14ac:dyDescent="0.2">
      <c r="A30" s="145">
        <f>'كـشـف حضور يومي'!ER1</f>
        <v>1</v>
      </c>
      <c r="B30" s="146" t="str">
        <f>'كـشـف حضور يومي'!ER2</f>
        <v>السبت</v>
      </c>
      <c r="C30" s="217"/>
      <c r="D30" s="105">
        <f>'كـشـف حضور يومي'!ER12</f>
        <v>0</v>
      </c>
      <c r="E30" s="105">
        <f>'كـشـف حضور يومي'!ES12</f>
        <v>0</v>
      </c>
      <c r="F30" s="106">
        <f>H30-مراجع!$B$2</f>
        <v>-0.33333333333333331</v>
      </c>
      <c r="G30" s="106">
        <f>مراجع!$B$2-H30</f>
        <v>0.33333333333333331</v>
      </c>
      <c r="H30" s="105">
        <f t="shared" si="0"/>
        <v>0</v>
      </c>
      <c r="I30" s="107">
        <f>'كـشـف حضور يومي'!EW12</f>
        <v>0</v>
      </c>
    </row>
    <row r="31" spans="1:15" ht="21.95" customHeight="1" x14ac:dyDescent="0.2">
      <c r="A31" s="145">
        <f>'كـشـف حضور يومي'!EX1</f>
        <v>1</v>
      </c>
      <c r="B31" s="146" t="str">
        <f>'كـشـف حضور يومي'!EX2</f>
        <v>السبت</v>
      </c>
      <c r="C31" s="217"/>
      <c r="D31" s="105">
        <f>'كـشـف حضور يومي'!EX12</f>
        <v>0</v>
      </c>
      <c r="E31" s="105">
        <f>'كـشـف حضور يومي'!EY12</f>
        <v>0</v>
      </c>
      <c r="F31" s="106">
        <f>H31-مراجع!$B$2</f>
        <v>-0.33333333333333331</v>
      </c>
      <c r="G31" s="106">
        <f>مراجع!$B$2-H31</f>
        <v>0.33333333333333331</v>
      </c>
      <c r="H31" s="105">
        <f t="shared" si="0"/>
        <v>0</v>
      </c>
      <c r="I31" s="107">
        <f>'كـشـف حضور يومي'!FC12</f>
        <v>0</v>
      </c>
    </row>
    <row r="32" spans="1:15" ht="21.95" customHeight="1" x14ac:dyDescent="0.2">
      <c r="A32" s="145">
        <f>'كـشـف حضور يومي'!FD1</f>
        <v>1</v>
      </c>
      <c r="B32" s="146" t="str">
        <f>'كـشـف حضور يومي'!FD2</f>
        <v>السبت</v>
      </c>
      <c r="C32" s="217"/>
      <c r="D32" s="105">
        <f>'كـشـف حضور يومي'!FD12</f>
        <v>0</v>
      </c>
      <c r="E32" s="105">
        <f>'كـشـف حضور يومي'!FE12</f>
        <v>0</v>
      </c>
      <c r="F32" s="106">
        <f>H32-مراجع!$B$2</f>
        <v>-0.33333333333333331</v>
      </c>
      <c r="G32" s="106">
        <f>مراجع!$B$2-H32</f>
        <v>0.33333333333333331</v>
      </c>
      <c r="H32" s="105">
        <f t="shared" si="0"/>
        <v>0</v>
      </c>
      <c r="I32" s="107">
        <f>'كـشـف حضور يومي'!FI12</f>
        <v>0</v>
      </c>
    </row>
    <row r="33" spans="1:9" ht="21.95" customHeight="1" x14ac:dyDescent="0.2">
      <c r="A33" s="145">
        <f>'كـشـف حضور يومي'!FJ1</f>
        <v>1</v>
      </c>
      <c r="B33" s="146" t="str">
        <f>'كـشـف حضور يومي'!FJ2</f>
        <v>السبت</v>
      </c>
      <c r="C33" s="217"/>
      <c r="D33" s="105">
        <f>'كـشـف حضور يومي'!FJ12</f>
        <v>0</v>
      </c>
      <c r="E33" s="105">
        <f>'كـشـف حضور يومي'!FK12</f>
        <v>0</v>
      </c>
      <c r="F33" s="106">
        <f>H33-مراجع!$B$2</f>
        <v>-0.33333333333333331</v>
      </c>
      <c r="G33" s="106">
        <f>مراجع!$B$2-H33</f>
        <v>0.33333333333333331</v>
      </c>
      <c r="H33" s="105">
        <f t="shared" si="0"/>
        <v>0</v>
      </c>
      <c r="I33" s="107">
        <f>'كـشـف حضور يومي'!FO12</f>
        <v>0</v>
      </c>
    </row>
    <row r="34" spans="1:9" ht="21.95" customHeight="1" x14ac:dyDescent="0.2">
      <c r="A34" s="145">
        <f>'كـشـف حضور يومي'!FP1</f>
        <v>1</v>
      </c>
      <c r="B34" s="146" t="str">
        <f>'كـشـف حضور يومي'!FP2</f>
        <v>السبت</v>
      </c>
      <c r="C34" s="217"/>
      <c r="D34" s="105">
        <f>'كـشـف حضور يومي'!FP12</f>
        <v>0</v>
      </c>
      <c r="E34" s="105">
        <f>'كـشـف حضور يومي'!FQ12</f>
        <v>0</v>
      </c>
      <c r="F34" s="106">
        <f>H34-مراجع!$B$2</f>
        <v>-0.33333333333333331</v>
      </c>
      <c r="G34" s="106">
        <f>مراجع!$B$2-H34</f>
        <v>0.33333333333333331</v>
      </c>
      <c r="H34" s="105">
        <f t="shared" si="0"/>
        <v>0</v>
      </c>
      <c r="I34" s="107">
        <f>'كـشـف حضور يومي'!FU12</f>
        <v>0</v>
      </c>
    </row>
    <row r="35" spans="1:9" ht="21.95" customHeight="1" x14ac:dyDescent="0.2">
      <c r="A35" s="145">
        <f>'كـشـف حضور يومي'!FV1</f>
        <v>1</v>
      </c>
      <c r="B35" s="146" t="str">
        <f>'كـشـف حضور يومي'!FV2</f>
        <v>السبت</v>
      </c>
      <c r="C35" s="217"/>
      <c r="D35" s="105">
        <f>'كـشـف حضور يومي'!FV12</f>
        <v>0</v>
      </c>
      <c r="E35" s="105">
        <f>'كـشـف حضور يومي'!FW12</f>
        <v>0</v>
      </c>
      <c r="F35" s="106">
        <f>H35-مراجع!$B$2</f>
        <v>-0.33333333333333331</v>
      </c>
      <c r="G35" s="106">
        <f>مراجع!$B$2-H35</f>
        <v>0.33333333333333331</v>
      </c>
      <c r="H35" s="105">
        <f t="shared" si="0"/>
        <v>0</v>
      </c>
      <c r="I35" s="107">
        <f>'كـشـف حضور يومي'!GA12</f>
        <v>0</v>
      </c>
    </row>
    <row r="36" spans="1:9" ht="21.95" customHeight="1" x14ac:dyDescent="0.2">
      <c r="A36" s="145">
        <f>'كـشـف حضور يومي'!GB1</f>
        <v>1</v>
      </c>
      <c r="B36" s="146" t="str">
        <f>'كـشـف حضور يومي'!GB2</f>
        <v>السبت</v>
      </c>
      <c r="C36" s="217"/>
      <c r="D36" s="105">
        <f>'كـشـف حضور يومي'!GB12</f>
        <v>0</v>
      </c>
      <c r="E36" s="105">
        <f>'كـشـف حضور يومي'!GC12</f>
        <v>0</v>
      </c>
      <c r="F36" s="106">
        <f>H36-مراجع!$B$2</f>
        <v>-0.33333333333333331</v>
      </c>
      <c r="G36" s="106">
        <f>مراجع!$B$2-H36</f>
        <v>0.33333333333333331</v>
      </c>
      <c r="H36" s="105">
        <f t="shared" si="0"/>
        <v>0</v>
      </c>
      <c r="I36" s="107">
        <f>'كـشـف حضور يومي'!GG12</f>
        <v>0</v>
      </c>
    </row>
    <row r="37" spans="1:9" ht="21.95" customHeight="1" x14ac:dyDescent="0.2">
      <c r="A37" s="216" t="s">
        <v>64</v>
      </c>
      <c r="B37" s="216"/>
      <c r="C37" s="216"/>
      <c r="D37" s="216"/>
      <c r="E37" s="216"/>
      <c r="F37" s="220">
        <f>SUM(H6:H36)</f>
        <v>0</v>
      </c>
      <c r="G37" s="220"/>
      <c r="H37" s="220"/>
      <c r="I37" s="220"/>
    </row>
    <row r="38" spans="1:9" ht="21.95" customHeight="1" x14ac:dyDescent="0.2">
      <c r="A38" s="215" t="s">
        <v>59</v>
      </c>
      <c r="B38" s="215"/>
      <c r="C38" s="215"/>
      <c r="D38" s="215"/>
      <c r="E38" s="215"/>
      <c r="F38" s="221">
        <f>F37*I2*24</f>
        <v>0</v>
      </c>
      <c r="G38" s="221"/>
      <c r="H38" s="221"/>
      <c r="I38" s="221"/>
    </row>
  </sheetData>
  <sheetProtection algorithmName="SHA-512" hashValue="SNqOOdUvAd0C5zSs/svLIWuGrFKjXcS9N4nGAN1h9iXKYP7Lmuw123gZ2G4JVfREltQPmYqWR8+f3rCtCAZ+kQ==" saltValue="6yBsBVphrIM89MftLv7Uig==" spinCount="100000" sheet="1" objects="1" scenarios="1"/>
  <mergeCells count="14">
    <mergeCell ref="A37:E37"/>
    <mergeCell ref="F37:I37"/>
    <mergeCell ref="A38:E38"/>
    <mergeCell ref="F38:I38"/>
    <mergeCell ref="A3:I3"/>
    <mergeCell ref="A4:B4"/>
    <mergeCell ref="H4:I4"/>
    <mergeCell ref="C4:E4"/>
    <mergeCell ref="C5:C36"/>
    <mergeCell ref="A1:B1"/>
    <mergeCell ref="D1:F2"/>
    <mergeCell ref="G1:H1"/>
    <mergeCell ref="A2:B2"/>
    <mergeCell ref="G2:H2"/>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D59E6103-566F-4586-BB67-F5AB84012E20}">
          <x14:formula1>
            <xm:f>مراجع!$B$4:$B$15</xm:f>
          </x14:formula1>
          <xm:sqref>C4:E4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38"/>
  <sheetViews>
    <sheetView rightToLeft="1" zoomScaleNormal="100" workbookViewId="0">
      <pane ySplit="5" topLeftCell="A6" activePane="bottomLeft" state="frozen"/>
      <selection pane="bottomLeft" activeCell="G15" sqref="G15"/>
    </sheetView>
  </sheetViews>
  <sheetFormatPr defaultColWidth="9.125" defaultRowHeight="21.95" customHeight="1" x14ac:dyDescent="0.2"/>
  <cols>
    <col min="1" max="9" width="12.75" style="86" customWidth="1"/>
    <col min="10" max="10" width="79.625" style="86" customWidth="1"/>
    <col min="11" max="11" width="4.625" style="85" bestFit="1" customWidth="1"/>
    <col min="12" max="12" width="9.125" style="85" bestFit="1" customWidth="1"/>
    <col min="13" max="13" width="6.625" style="85" bestFit="1" customWidth="1"/>
    <col min="14" max="14" width="10.125" style="85" bestFit="1" customWidth="1"/>
    <col min="15" max="15" width="7.875" style="85" bestFit="1" customWidth="1"/>
    <col min="16" max="16" width="9.125" style="85" bestFit="1" customWidth="1"/>
    <col min="17" max="17" width="9.75" style="85" bestFit="1" customWidth="1"/>
    <col min="18" max="18" width="9" style="85" bestFit="1" customWidth="1"/>
    <col min="19" max="20" width="6.625" style="85" bestFit="1" customWidth="1"/>
    <col min="21" max="21" width="10.125" style="85" bestFit="1" customWidth="1"/>
    <col min="22" max="16384" width="9.125" style="85"/>
  </cols>
  <sheetData>
    <row r="1" spans="1:24" ht="21.95" customHeight="1" x14ac:dyDescent="0.2">
      <c r="A1" s="208" t="s">
        <v>43</v>
      </c>
      <c r="B1" s="208"/>
      <c r="C1" s="96" t="s">
        <v>82</v>
      </c>
      <c r="D1" s="209"/>
      <c r="E1" s="209"/>
      <c r="F1" s="209"/>
      <c r="G1" s="208" t="s">
        <v>21</v>
      </c>
      <c r="H1" s="208"/>
      <c r="I1" s="97" t="s">
        <v>82</v>
      </c>
      <c r="J1"/>
      <c r="K1"/>
      <c r="N1" s="89"/>
      <c r="O1" s="89"/>
      <c r="P1" s="89"/>
      <c r="Q1" s="89"/>
      <c r="R1" s="89"/>
      <c r="S1" s="89"/>
      <c r="T1" s="89"/>
      <c r="U1" s="89"/>
      <c r="V1" s="89"/>
      <c r="W1" s="89"/>
      <c r="X1" s="89"/>
    </row>
    <row r="2" spans="1:24" ht="21.95" customHeight="1" x14ac:dyDescent="0.2">
      <c r="A2" s="207" t="s">
        <v>52</v>
      </c>
      <c r="B2" s="207"/>
      <c r="C2" s="98" t="s">
        <v>82</v>
      </c>
      <c r="D2" s="209"/>
      <c r="E2" s="209"/>
      <c r="F2" s="209"/>
      <c r="G2" s="207" t="s">
        <v>53</v>
      </c>
      <c r="H2" s="207"/>
      <c r="I2" s="99">
        <v>15</v>
      </c>
      <c r="J2"/>
      <c r="K2"/>
      <c r="L2" s="118"/>
      <c r="O2" s="87"/>
      <c r="P2" s="88"/>
      <c r="Q2" s="88"/>
      <c r="R2" s="88"/>
      <c r="S2" s="88"/>
      <c r="T2" s="88"/>
      <c r="U2" s="88"/>
      <c r="V2" s="88"/>
      <c r="W2" s="88"/>
      <c r="X2" s="88"/>
    </row>
    <row r="3" spans="1:24" ht="21.95" customHeight="1" x14ac:dyDescent="0.2">
      <c r="A3" s="223" t="s">
        <v>41</v>
      </c>
      <c r="B3" s="223"/>
      <c r="C3" s="223"/>
      <c r="D3" s="223"/>
      <c r="E3" s="223"/>
      <c r="F3" s="223"/>
      <c r="G3" s="223"/>
      <c r="H3" s="223"/>
      <c r="I3" s="223"/>
      <c r="J3" s="92"/>
      <c r="K3" s="86"/>
      <c r="L3" s="86"/>
      <c r="M3" s="86"/>
      <c r="N3" s="86"/>
      <c r="O3" s="86"/>
      <c r="P3" s="86"/>
      <c r="Q3" s="90"/>
      <c r="R3" s="90"/>
      <c r="S3" s="90"/>
      <c r="T3" s="90"/>
    </row>
    <row r="4" spans="1:24" ht="21.95" customHeight="1" x14ac:dyDescent="0.2">
      <c r="A4" s="213" t="s">
        <v>4</v>
      </c>
      <c r="B4" s="213"/>
      <c r="C4" s="213" t="s">
        <v>42</v>
      </c>
      <c r="D4" s="213"/>
      <c r="E4" s="213"/>
      <c r="F4" s="144" t="s">
        <v>54</v>
      </c>
      <c r="G4" s="144"/>
      <c r="H4" s="214" t="s">
        <v>82</v>
      </c>
      <c r="I4" s="214"/>
      <c r="J4" s="92"/>
      <c r="K4" s="86"/>
      <c r="L4" s="86"/>
      <c r="M4" s="86"/>
      <c r="N4" s="86"/>
      <c r="O4" s="86"/>
      <c r="P4" s="86"/>
      <c r="Q4" s="90"/>
      <c r="R4" s="90"/>
      <c r="S4" s="90"/>
      <c r="T4" s="90"/>
    </row>
    <row r="5" spans="1:24" ht="21.95" customHeight="1" x14ac:dyDescent="0.2">
      <c r="A5" s="100" t="s">
        <v>56</v>
      </c>
      <c r="B5" s="100" t="s">
        <v>55</v>
      </c>
      <c r="C5" s="217"/>
      <c r="D5" s="102" t="s">
        <v>23</v>
      </c>
      <c r="E5" s="102" t="s">
        <v>24</v>
      </c>
      <c r="F5" s="103" t="s">
        <v>57</v>
      </c>
      <c r="G5" s="104" t="s">
        <v>58</v>
      </c>
      <c r="H5" s="102" t="s">
        <v>17</v>
      </c>
      <c r="I5" s="102" t="s">
        <v>25</v>
      </c>
      <c r="J5" s="93"/>
    </row>
    <row r="6" spans="1:24" ht="21.95" customHeight="1" x14ac:dyDescent="0.2">
      <c r="A6" s="145">
        <f>'كـشـف حضور يومي'!D1</f>
        <v>1</v>
      </c>
      <c r="B6" s="146" t="str">
        <f>'كـشـف حضور يومي'!D2</f>
        <v>السبت</v>
      </c>
      <c r="C6" s="217"/>
      <c r="D6" s="105">
        <f>'كـشـف حضور يومي'!D13</f>
        <v>0</v>
      </c>
      <c r="E6" s="105">
        <f>'كـشـف حضور يومي'!E13</f>
        <v>0</v>
      </c>
      <c r="F6" s="106">
        <f>H6-مراجع!$B$2</f>
        <v>-0.33333333333333331</v>
      </c>
      <c r="G6" s="106">
        <f>مراجع!$B$2-H6</f>
        <v>0.33333333333333331</v>
      </c>
      <c r="H6" s="105">
        <f>SUM(E6-D6)</f>
        <v>0</v>
      </c>
      <c r="I6" s="107">
        <f>'كـشـف حضور يومي'!I13</f>
        <v>0</v>
      </c>
      <c r="J6" s="94"/>
    </row>
    <row r="7" spans="1:24" ht="21.95" customHeight="1" x14ac:dyDescent="0.2">
      <c r="A7" s="145">
        <f>'كـشـف حضور يومي'!J1</f>
        <v>1</v>
      </c>
      <c r="B7" s="146" t="str">
        <f>'كـشـف حضور يومي'!J2</f>
        <v>السبت</v>
      </c>
      <c r="C7" s="217"/>
      <c r="D7" s="105">
        <f>'كـشـف حضور يومي'!J13</f>
        <v>0</v>
      </c>
      <c r="E7" s="105">
        <f>'كـشـف حضور يومي'!K13</f>
        <v>0</v>
      </c>
      <c r="F7" s="106">
        <f>H7-مراجع!$B$2</f>
        <v>-0.33333333333333331</v>
      </c>
      <c r="G7" s="106">
        <f>مراجع!$B$2-H7</f>
        <v>0.33333333333333331</v>
      </c>
      <c r="H7" s="105">
        <f>SUM(E7-D7)</f>
        <v>0</v>
      </c>
      <c r="I7" s="107">
        <f>'كـشـف حضور يومي'!O13</f>
        <v>0</v>
      </c>
      <c r="J7" s="94"/>
    </row>
    <row r="8" spans="1:24" ht="21.95" customHeight="1" x14ac:dyDescent="0.2">
      <c r="A8" s="145">
        <f>'كـشـف حضور يومي'!P1</f>
        <v>1</v>
      </c>
      <c r="B8" s="146" t="str">
        <f>'كـشـف حضور يومي'!P2</f>
        <v>السبت</v>
      </c>
      <c r="C8" s="217"/>
      <c r="D8" s="105">
        <f>'كـشـف حضور يومي'!P13</f>
        <v>0</v>
      </c>
      <c r="E8" s="105">
        <f>'كـشـف حضور يومي'!Q13</f>
        <v>0</v>
      </c>
      <c r="F8" s="106">
        <f>H8-مراجع!$B$2</f>
        <v>-0.33333333333333331</v>
      </c>
      <c r="G8" s="106">
        <f>مراجع!$B$2-H8</f>
        <v>0.33333333333333331</v>
      </c>
      <c r="H8" s="105">
        <f t="shared" ref="H8:H36" si="0">SUM(E8-D8)</f>
        <v>0</v>
      </c>
      <c r="I8" s="107">
        <f>'كـشـف حضور يومي'!U13</f>
        <v>0</v>
      </c>
      <c r="J8" s="94"/>
    </row>
    <row r="9" spans="1:24" ht="21.95" customHeight="1" x14ac:dyDescent="0.2">
      <c r="A9" s="145">
        <f>'كـشـف حضور يومي'!V1</f>
        <v>1</v>
      </c>
      <c r="B9" s="147" t="str">
        <f>'كـشـف حضور يومي'!V2</f>
        <v>السبت</v>
      </c>
      <c r="C9" s="217"/>
      <c r="D9" s="105">
        <f>'كـشـف حضور يومي'!V13</f>
        <v>0</v>
      </c>
      <c r="E9" s="105">
        <f>'كـشـف حضور يومي'!W13</f>
        <v>0</v>
      </c>
      <c r="F9" s="106">
        <f>H9-مراجع!$B$2</f>
        <v>-0.33333333333333331</v>
      </c>
      <c r="G9" s="106">
        <f>مراجع!$B$2-H9</f>
        <v>0.33333333333333331</v>
      </c>
      <c r="H9" s="105">
        <f t="shared" si="0"/>
        <v>0</v>
      </c>
      <c r="I9" s="107">
        <f>'كـشـف حضور يومي'!AA13</f>
        <v>0</v>
      </c>
      <c r="J9" s="94"/>
    </row>
    <row r="10" spans="1:24" ht="21.95" customHeight="1" x14ac:dyDescent="0.2">
      <c r="A10" s="145">
        <f>'كـشـف حضور يومي'!AB1</f>
        <v>1</v>
      </c>
      <c r="B10" s="146" t="str">
        <f>'كـشـف حضور يومي'!AB2</f>
        <v>السبت</v>
      </c>
      <c r="C10" s="217"/>
      <c r="D10" s="105">
        <f>'كـشـف حضور يومي'!AB13</f>
        <v>0</v>
      </c>
      <c r="E10" s="105">
        <f>'كـشـف حضور يومي'!AC13</f>
        <v>0</v>
      </c>
      <c r="F10" s="106">
        <f>H10-مراجع!$B$2</f>
        <v>-0.33333333333333331</v>
      </c>
      <c r="G10" s="106">
        <f>مراجع!$B$2-H10</f>
        <v>0.33333333333333331</v>
      </c>
      <c r="H10" s="105">
        <f t="shared" si="0"/>
        <v>0</v>
      </c>
      <c r="I10" s="107">
        <f>'كـشـف حضور يومي'!AG13</f>
        <v>0</v>
      </c>
      <c r="J10" s="94"/>
    </row>
    <row r="11" spans="1:24" ht="21.95" customHeight="1" x14ac:dyDescent="0.2">
      <c r="A11" s="145">
        <f>'كـشـف حضور يومي'!AH1</f>
        <v>1</v>
      </c>
      <c r="B11" s="146" t="str">
        <f>'كـشـف حضور يومي'!AH2</f>
        <v>السبت</v>
      </c>
      <c r="C11" s="217"/>
      <c r="D11" s="105">
        <f>'كـشـف حضور يومي'!AH13</f>
        <v>0</v>
      </c>
      <c r="E11" s="105">
        <f>'كـشـف حضور يومي'!AI13</f>
        <v>0</v>
      </c>
      <c r="F11" s="106">
        <f>H11-مراجع!$B$2</f>
        <v>-0.33333333333333331</v>
      </c>
      <c r="G11" s="106">
        <f>مراجع!$B$2-H11</f>
        <v>0.33333333333333331</v>
      </c>
      <c r="H11" s="105">
        <f t="shared" si="0"/>
        <v>0</v>
      </c>
      <c r="I11" s="107">
        <f>'كـشـف حضور يومي'!AM13</f>
        <v>0</v>
      </c>
      <c r="J11" s="94"/>
    </row>
    <row r="12" spans="1:24" ht="21.95" customHeight="1" x14ac:dyDescent="0.2">
      <c r="A12" s="145">
        <f>'كـشـف حضور يومي'!AN1</f>
        <v>1</v>
      </c>
      <c r="B12" s="146" t="str">
        <f>'كـشـف حضور يومي'!AN2</f>
        <v>السبت</v>
      </c>
      <c r="C12" s="217"/>
      <c r="D12" s="105">
        <f>'كـشـف حضور يومي'!AN13</f>
        <v>0</v>
      </c>
      <c r="E12" s="105">
        <f>'كـشـف حضور يومي'!AO13</f>
        <v>0</v>
      </c>
      <c r="F12" s="106">
        <f>H12-مراجع!$B$2</f>
        <v>-0.33333333333333331</v>
      </c>
      <c r="G12" s="106">
        <f>مراجع!$B$2-H12</f>
        <v>0.33333333333333331</v>
      </c>
      <c r="H12" s="105">
        <f t="shared" si="0"/>
        <v>0</v>
      </c>
      <c r="I12" s="107">
        <f>'كـشـف حضور يومي'!AS13</f>
        <v>0</v>
      </c>
      <c r="J12" s="94"/>
    </row>
    <row r="13" spans="1:24" ht="21.95" customHeight="1" x14ac:dyDescent="0.2">
      <c r="A13" s="145">
        <f>'كـشـف حضور يومي'!AT1</f>
        <v>1</v>
      </c>
      <c r="B13" s="146" t="str">
        <f>'كـشـف حضور يومي'!AT2</f>
        <v>السبت</v>
      </c>
      <c r="C13" s="217"/>
      <c r="D13" s="105">
        <f>'كـشـف حضور يومي'!AT13</f>
        <v>0</v>
      </c>
      <c r="E13" s="105">
        <f>'كـشـف حضور يومي'!AU13</f>
        <v>0</v>
      </c>
      <c r="F13" s="106">
        <f>H13-مراجع!$B$2</f>
        <v>-0.33333333333333331</v>
      </c>
      <c r="G13" s="106">
        <f>مراجع!$B$2-H13</f>
        <v>0.33333333333333331</v>
      </c>
      <c r="H13" s="105">
        <f t="shared" si="0"/>
        <v>0</v>
      </c>
      <c r="I13" s="107">
        <f>'كـشـف حضور يومي'!AY13</f>
        <v>0</v>
      </c>
      <c r="J13" s="94"/>
    </row>
    <row r="14" spans="1:24" ht="21.95" customHeight="1" x14ac:dyDescent="0.2">
      <c r="A14" s="145">
        <f>'كـشـف حضور يومي'!AZ1</f>
        <v>1</v>
      </c>
      <c r="B14" s="146" t="str">
        <f>'كـشـف حضور يومي'!AZ2</f>
        <v>السبت</v>
      </c>
      <c r="C14" s="217"/>
      <c r="D14" s="105">
        <f>'كـشـف حضور يومي'!AZ13</f>
        <v>0</v>
      </c>
      <c r="E14" s="105">
        <f>'كـشـف حضور يومي'!BA13</f>
        <v>0</v>
      </c>
      <c r="F14" s="106">
        <f>H14-مراجع!$B$2</f>
        <v>-0.33333333333333331</v>
      </c>
      <c r="G14" s="106">
        <f>مراجع!$B$2-H14</f>
        <v>0.33333333333333331</v>
      </c>
      <c r="H14" s="105">
        <f t="shared" si="0"/>
        <v>0</v>
      </c>
      <c r="I14" s="107">
        <f>'كـشـف حضور يومي'!BE13</f>
        <v>0</v>
      </c>
      <c r="J14" s="94"/>
    </row>
    <row r="15" spans="1:24" ht="21.95" customHeight="1" x14ac:dyDescent="0.2">
      <c r="A15" s="145">
        <f>'كـشـف حضور يومي'!BF1</f>
        <v>1</v>
      </c>
      <c r="B15" s="146" t="str">
        <f>'كـشـف حضور يومي'!BF2</f>
        <v>السبت</v>
      </c>
      <c r="C15" s="217"/>
      <c r="D15" s="105">
        <f>'كـشـف حضور يومي'!BF13</f>
        <v>0</v>
      </c>
      <c r="E15" s="105">
        <f>'كـشـف حضور يومي'!BG13</f>
        <v>0</v>
      </c>
      <c r="F15" s="106">
        <f>H15-مراجع!$B$2</f>
        <v>-0.33333333333333331</v>
      </c>
      <c r="G15" s="106">
        <f>مراجع!$B$2-H15</f>
        <v>0.33333333333333331</v>
      </c>
      <c r="H15" s="105">
        <f t="shared" si="0"/>
        <v>0</v>
      </c>
      <c r="I15" s="107">
        <f>'كـشـف حضور يومي'!BK13</f>
        <v>0</v>
      </c>
      <c r="J15" s="94"/>
    </row>
    <row r="16" spans="1:24" ht="21.95" customHeight="1" x14ac:dyDescent="0.2">
      <c r="A16" s="145">
        <f>'كـشـف حضور يومي'!BL1</f>
        <v>1</v>
      </c>
      <c r="B16" s="146" t="str">
        <f>'كـشـف حضور يومي'!BL2</f>
        <v>السبت</v>
      </c>
      <c r="C16" s="217"/>
      <c r="D16" s="105">
        <f>'كـشـف حضور يومي'!BL13</f>
        <v>0</v>
      </c>
      <c r="E16" s="105">
        <f>'كـشـف حضور يومي'!BM13</f>
        <v>0</v>
      </c>
      <c r="F16" s="106">
        <f>H16-مراجع!$B$2</f>
        <v>-0.33333333333333331</v>
      </c>
      <c r="G16" s="106">
        <f>مراجع!$B$2-H16</f>
        <v>0.33333333333333331</v>
      </c>
      <c r="H16" s="105">
        <f t="shared" si="0"/>
        <v>0</v>
      </c>
      <c r="I16" s="107">
        <f>'كـشـف حضور يومي'!BQ13</f>
        <v>0</v>
      </c>
      <c r="J16" s="94"/>
    </row>
    <row r="17" spans="1:15" ht="21.95" customHeight="1" x14ac:dyDescent="0.2">
      <c r="A17" s="145">
        <f>'كـشـف حضور يومي'!BR1</f>
        <v>1</v>
      </c>
      <c r="B17" s="146" t="str">
        <f>'كـشـف حضور يومي'!BR2</f>
        <v>السبت</v>
      </c>
      <c r="C17" s="217"/>
      <c r="D17" s="105">
        <f>'كـشـف حضور يومي'!BR13</f>
        <v>0</v>
      </c>
      <c r="E17" s="105">
        <f>'كـشـف حضور يومي'!BS13</f>
        <v>0</v>
      </c>
      <c r="F17" s="106">
        <f>H17-مراجع!$B$2</f>
        <v>-0.33333333333333331</v>
      </c>
      <c r="G17" s="106">
        <f>مراجع!$B$2-H17</f>
        <v>0.33333333333333331</v>
      </c>
      <c r="H17" s="105">
        <f t="shared" si="0"/>
        <v>0</v>
      </c>
      <c r="I17" s="107">
        <f>'كـشـف حضور يومي'!BW13</f>
        <v>0</v>
      </c>
      <c r="J17" s="94"/>
    </row>
    <row r="18" spans="1:15" ht="21.95" customHeight="1" x14ac:dyDescent="0.2">
      <c r="A18" s="145">
        <f>'كـشـف حضور يومي'!BX1</f>
        <v>1</v>
      </c>
      <c r="B18" s="146" t="str">
        <f>'كـشـف حضور يومي'!BX2</f>
        <v>السبت</v>
      </c>
      <c r="C18" s="217"/>
      <c r="D18" s="105">
        <f>'كـشـف حضور يومي'!BX13</f>
        <v>0</v>
      </c>
      <c r="E18" s="105">
        <f>'كـشـف حضور يومي'!BY13</f>
        <v>0</v>
      </c>
      <c r="F18" s="106">
        <f>H18-مراجع!$B$2</f>
        <v>-0.33333333333333331</v>
      </c>
      <c r="G18" s="106">
        <f>مراجع!$B$2-H18</f>
        <v>0.33333333333333331</v>
      </c>
      <c r="H18" s="105">
        <f t="shared" si="0"/>
        <v>0</v>
      </c>
      <c r="I18" s="107">
        <f>'كـشـف حضور يومي'!CC13</f>
        <v>0</v>
      </c>
    </row>
    <row r="19" spans="1:15" ht="21.95" customHeight="1" x14ac:dyDescent="0.2">
      <c r="A19" s="145">
        <f>'كـشـف حضور يومي'!CD1</f>
        <v>1</v>
      </c>
      <c r="B19" s="146" t="str">
        <f>'كـشـف حضور يومي'!CD2</f>
        <v>السبت</v>
      </c>
      <c r="C19" s="217"/>
      <c r="D19" s="105">
        <f>'كـشـف حضور يومي'!CD13</f>
        <v>0</v>
      </c>
      <c r="E19" s="105">
        <f>'كـشـف حضور يومي'!CE13</f>
        <v>0</v>
      </c>
      <c r="F19" s="106">
        <f>H19-مراجع!$B$2</f>
        <v>-0.33333333333333331</v>
      </c>
      <c r="G19" s="106">
        <f>مراجع!$B$2-H19</f>
        <v>0.33333333333333331</v>
      </c>
      <c r="H19" s="105">
        <f t="shared" si="0"/>
        <v>0</v>
      </c>
      <c r="I19" s="107">
        <f>'كـشـف حضور يومي'!CI13</f>
        <v>0</v>
      </c>
    </row>
    <row r="20" spans="1:15" ht="21.95" customHeight="1" x14ac:dyDescent="0.2">
      <c r="A20" s="145">
        <f>'كـشـف حضور يومي'!CJ1</f>
        <v>1</v>
      </c>
      <c r="B20" s="146" t="str">
        <f>'كـشـف حضور يومي'!CJ2</f>
        <v>السبت</v>
      </c>
      <c r="C20" s="217"/>
      <c r="D20" s="105">
        <f>'كـشـف حضور يومي'!CJ13</f>
        <v>0</v>
      </c>
      <c r="E20" s="105">
        <f>'كـشـف حضور يومي'!CK13</f>
        <v>0</v>
      </c>
      <c r="F20" s="106">
        <f>H20-مراجع!$B$2</f>
        <v>-0.33333333333333331</v>
      </c>
      <c r="G20" s="106">
        <f>مراجع!$B$2-H20</f>
        <v>0.33333333333333331</v>
      </c>
      <c r="H20" s="105">
        <f t="shared" si="0"/>
        <v>0</v>
      </c>
      <c r="I20" s="107">
        <f>'كـشـف حضور يومي'!CO13</f>
        <v>0</v>
      </c>
      <c r="O20" s="91"/>
    </row>
    <row r="21" spans="1:15" ht="21.95" customHeight="1" x14ac:dyDescent="0.2">
      <c r="A21" s="145">
        <f>'كـشـف حضور يومي'!CP1</f>
        <v>1</v>
      </c>
      <c r="B21" s="146" t="str">
        <f>'كـشـف حضور يومي'!CP2</f>
        <v>السبت</v>
      </c>
      <c r="C21" s="217"/>
      <c r="D21" s="105">
        <f>'كـشـف حضور يومي'!CP13</f>
        <v>0</v>
      </c>
      <c r="E21" s="105">
        <f>'كـشـف حضور يومي'!CQ13</f>
        <v>0</v>
      </c>
      <c r="F21" s="106">
        <f>H21-مراجع!$B$2</f>
        <v>-0.33333333333333331</v>
      </c>
      <c r="G21" s="106">
        <f>مراجع!$B$2-H21</f>
        <v>0.33333333333333331</v>
      </c>
      <c r="H21" s="105">
        <f t="shared" si="0"/>
        <v>0</v>
      </c>
      <c r="I21" s="107">
        <f>'كـشـف حضور يومي'!CU13</f>
        <v>0</v>
      </c>
    </row>
    <row r="22" spans="1:15" ht="21.95" customHeight="1" x14ac:dyDescent="0.2">
      <c r="A22" s="145">
        <f>'كـشـف حضور يومي'!CV1</f>
        <v>1</v>
      </c>
      <c r="B22" s="146" t="str">
        <f>'كـشـف حضور يومي'!CV2</f>
        <v>السبت</v>
      </c>
      <c r="C22" s="217"/>
      <c r="D22" s="105">
        <f>'كـشـف حضور يومي'!CV13</f>
        <v>0</v>
      </c>
      <c r="E22" s="105">
        <f>'كـشـف حضور يومي'!CW13</f>
        <v>0</v>
      </c>
      <c r="F22" s="106">
        <f>H22-مراجع!$B$2</f>
        <v>-0.33333333333333331</v>
      </c>
      <c r="G22" s="106">
        <f>مراجع!$B$2-H22</f>
        <v>0.33333333333333331</v>
      </c>
      <c r="H22" s="105">
        <f t="shared" si="0"/>
        <v>0</v>
      </c>
      <c r="I22" s="107">
        <f>'كـشـف حضور يومي'!DA13</f>
        <v>0</v>
      </c>
    </row>
    <row r="23" spans="1:15" ht="21.95" customHeight="1" x14ac:dyDescent="0.2">
      <c r="A23" s="145">
        <f>'كـشـف حضور يومي'!DB1</f>
        <v>1</v>
      </c>
      <c r="B23" s="146" t="str">
        <f>'كـشـف حضور يومي'!DB2</f>
        <v>السبت</v>
      </c>
      <c r="C23" s="217"/>
      <c r="D23" s="105">
        <f>'كـشـف حضور يومي'!DB13</f>
        <v>0</v>
      </c>
      <c r="E23" s="105">
        <f>'كـشـف حضور يومي'!DC13</f>
        <v>0</v>
      </c>
      <c r="F23" s="106">
        <f>H23-مراجع!$B$2</f>
        <v>-0.33333333333333331</v>
      </c>
      <c r="G23" s="106">
        <f>مراجع!$B$2-H23</f>
        <v>0.33333333333333331</v>
      </c>
      <c r="H23" s="105">
        <f t="shared" si="0"/>
        <v>0</v>
      </c>
      <c r="I23" s="107">
        <f>'كـشـف حضور يومي'!DG13</f>
        <v>0</v>
      </c>
    </row>
    <row r="24" spans="1:15" ht="21.95" customHeight="1" x14ac:dyDescent="0.2">
      <c r="A24" s="145">
        <f>'كـشـف حضور يومي'!DH1</f>
        <v>1</v>
      </c>
      <c r="B24" s="146" t="str">
        <f>'كـشـف حضور يومي'!DH2</f>
        <v>السبت</v>
      </c>
      <c r="C24" s="217"/>
      <c r="D24" s="105">
        <f>'كـشـف حضور يومي'!DH13</f>
        <v>0</v>
      </c>
      <c r="E24" s="105">
        <f>'كـشـف حضور يومي'!DI13</f>
        <v>0</v>
      </c>
      <c r="F24" s="106">
        <f>H24-مراجع!$B$2</f>
        <v>-0.33333333333333331</v>
      </c>
      <c r="G24" s="106">
        <f>مراجع!$B$2-H24</f>
        <v>0.33333333333333331</v>
      </c>
      <c r="H24" s="105">
        <f t="shared" si="0"/>
        <v>0</v>
      </c>
      <c r="I24" s="107">
        <f>'كـشـف حضور يومي'!DM13</f>
        <v>0</v>
      </c>
    </row>
    <row r="25" spans="1:15" ht="21.95" customHeight="1" x14ac:dyDescent="0.2">
      <c r="A25" s="145">
        <f>'كـشـف حضور يومي'!DN1</f>
        <v>1</v>
      </c>
      <c r="B25" s="146" t="str">
        <f>'كـشـف حضور يومي'!DN2</f>
        <v>السبت</v>
      </c>
      <c r="C25" s="217"/>
      <c r="D25" s="105">
        <f>'كـشـف حضور يومي'!DN13</f>
        <v>0</v>
      </c>
      <c r="E25" s="105">
        <f>'كـشـف حضور يومي'!DO13</f>
        <v>0</v>
      </c>
      <c r="F25" s="106">
        <f>H25-مراجع!$B$2</f>
        <v>-0.33333333333333331</v>
      </c>
      <c r="G25" s="106">
        <f>مراجع!$B$2-H25</f>
        <v>0.33333333333333331</v>
      </c>
      <c r="H25" s="105">
        <f t="shared" si="0"/>
        <v>0</v>
      </c>
      <c r="I25" s="107">
        <f>'كـشـف حضور يومي'!DS13</f>
        <v>0</v>
      </c>
    </row>
    <row r="26" spans="1:15" ht="21.95" customHeight="1" x14ac:dyDescent="0.2">
      <c r="A26" s="145">
        <f>'كـشـف حضور يومي'!DT1</f>
        <v>1</v>
      </c>
      <c r="B26" s="146" t="str">
        <f>'كـشـف حضور يومي'!DT2</f>
        <v>السبت</v>
      </c>
      <c r="C26" s="217"/>
      <c r="D26" s="105">
        <f>'كـشـف حضور يومي'!DT13</f>
        <v>0</v>
      </c>
      <c r="E26" s="105">
        <f>'كـشـف حضور يومي'!DU13</f>
        <v>0</v>
      </c>
      <c r="F26" s="106">
        <f>H26-مراجع!$B$2</f>
        <v>-0.33333333333333331</v>
      </c>
      <c r="G26" s="106">
        <f>مراجع!$B$2-H26</f>
        <v>0.33333333333333331</v>
      </c>
      <c r="H26" s="105">
        <f t="shared" si="0"/>
        <v>0</v>
      </c>
      <c r="I26" s="107">
        <f>'كـشـف حضور يومي'!DY13</f>
        <v>0</v>
      </c>
    </row>
    <row r="27" spans="1:15" ht="21.95" customHeight="1" x14ac:dyDescent="0.2">
      <c r="A27" s="145">
        <f>'كـشـف حضور يومي'!DZ1</f>
        <v>1</v>
      </c>
      <c r="B27" s="146" t="str">
        <f>'كـشـف حضور يومي'!DZ2</f>
        <v>السبت</v>
      </c>
      <c r="C27" s="217"/>
      <c r="D27" s="105">
        <f>'كـشـف حضور يومي'!DZ13</f>
        <v>0</v>
      </c>
      <c r="E27" s="105">
        <f>'كـشـف حضور يومي'!EA13</f>
        <v>0</v>
      </c>
      <c r="F27" s="106">
        <f>H27-مراجع!$B$2</f>
        <v>-0.33333333333333331</v>
      </c>
      <c r="G27" s="106">
        <f>مراجع!$B$2-H27</f>
        <v>0.33333333333333331</v>
      </c>
      <c r="H27" s="105">
        <f t="shared" si="0"/>
        <v>0</v>
      </c>
      <c r="I27" s="107">
        <f>'كـشـف حضور يومي'!EE13</f>
        <v>0</v>
      </c>
    </row>
    <row r="28" spans="1:15" ht="21.95" customHeight="1" x14ac:dyDescent="0.2">
      <c r="A28" s="145">
        <f>'كـشـف حضور يومي'!EF1</f>
        <v>1</v>
      </c>
      <c r="B28" s="146" t="str">
        <f>'كـشـف حضور يومي'!EF2</f>
        <v>السبت</v>
      </c>
      <c r="C28" s="217"/>
      <c r="D28" s="105">
        <f>'كـشـف حضور يومي'!EF13</f>
        <v>0</v>
      </c>
      <c r="E28" s="105">
        <f>'كـشـف حضور يومي'!EG13</f>
        <v>0</v>
      </c>
      <c r="F28" s="106">
        <f>H28-مراجع!$B$2</f>
        <v>-0.33333333333333331</v>
      </c>
      <c r="G28" s="106">
        <f>مراجع!$B$2-H28</f>
        <v>0.33333333333333331</v>
      </c>
      <c r="H28" s="105">
        <f t="shared" si="0"/>
        <v>0</v>
      </c>
      <c r="I28" s="107">
        <f>'كـشـف حضور يومي'!EK13</f>
        <v>0</v>
      </c>
    </row>
    <row r="29" spans="1:15" ht="21.95" customHeight="1" x14ac:dyDescent="0.2">
      <c r="A29" s="145">
        <f>'كـشـف حضور يومي'!EL1</f>
        <v>1</v>
      </c>
      <c r="B29" s="146" t="str">
        <f>'كـشـف حضور يومي'!EL2</f>
        <v>السبت</v>
      </c>
      <c r="C29" s="217"/>
      <c r="D29" s="105">
        <f>'كـشـف حضور يومي'!EL13</f>
        <v>0</v>
      </c>
      <c r="E29" s="105">
        <f>'كـشـف حضور يومي'!EM13</f>
        <v>0</v>
      </c>
      <c r="F29" s="106">
        <f>H29-مراجع!$B$2</f>
        <v>-0.33333333333333331</v>
      </c>
      <c r="G29" s="106">
        <f>مراجع!$B$2-H29</f>
        <v>0.33333333333333331</v>
      </c>
      <c r="H29" s="105">
        <f t="shared" si="0"/>
        <v>0</v>
      </c>
      <c r="I29" s="107">
        <f>'كـشـف حضور يومي'!EQ13</f>
        <v>0</v>
      </c>
    </row>
    <row r="30" spans="1:15" ht="21.95" customHeight="1" x14ac:dyDescent="0.2">
      <c r="A30" s="145">
        <f>'كـشـف حضور يومي'!ER1</f>
        <v>1</v>
      </c>
      <c r="B30" s="146" t="str">
        <f>'كـشـف حضور يومي'!ER2</f>
        <v>السبت</v>
      </c>
      <c r="C30" s="217"/>
      <c r="D30" s="105">
        <f>'كـشـف حضور يومي'!ER13</f>
        <v>0</v>
      </c>
      <c r="E30" s="105">
        <f>'كـشـف حضور يومي'!ES13</f>
        <v>0</v>
      </c>
      <c r="F30" s="106">
        <f>H30-مراجع!$B$2</f>
        <v>-0.33333333333333331</v>
      </c>
      <c r="G30" s="106">
        <f>مراجع!$B$2-H30</f>
        <v>0.33333333333333331</v>
      </c>
      <c r="H30" s="105">
        <f t="shared" si="0"/>
        <v>0</v>
      </c>
      <c r="I30" s="107">
        <f>'كـشـف حضور يومي'!EW13</f>
        <v>0</v>
      </c>
    </row>
    <row r="31" spans="1:15" ht="21.95" customHeight="1" x14ac:dyDescent="0.2">
      <c r="A31" s="145">
        <f>'كـشـف حضور يومي'!EX1</f>
        <v>1</v>
      </c>
      <c r="B31" s="146" t="str">
        <f>'كـشـف حضور يومي'!EX2</f>
        <v>السبت</v>
      </c>
      <c r="C31" s="217"/>
      <c r="D31" s="105">
        <f>'كـشـف حضور يومي'!EX13</f>
        <v>0</v>
      </c>
      <c r="E31" s="105">
        <f>'كـشـف حضور يومي'!EY13</f>
        <v>0</v>
      </c>
      <c r="F31" s="106">
        <f>H31-مراجع!$B$2</f>
        <v>-0.33333333333333331</v>
      </c>
      <c r="G31" s="106">
        <f>مراجع!$B$2-H31</f>
        <v>0.33333333333333331</v>
      </c>
      <c r="H31" s="105">
        <f t="shared" si="0"/>
        <v>0</v>
      </c>
      <c r="I31" s="107">
        <f>'كـشـف حضور يومي'!FC13</f>
        <v>0</v>
      </c>
    </row>
    <row r="32" spans="1:15" ht="21.95" customHeight="1" x14ac:dyDescent="0.2">
      <c r="A32" s="145">
        <f>'كـشـف حضور يومي'!FD1</f>
        <v>1</v>
      </c>
      <c r="B32" s="146" t="str">
        <f>'كـشـف حضور يومي'!FD2</f>
        <v>السبت</v>
      </c>
      <c r="C32" s="217"/>
      <c r="D32" s="105">
        <f>'كـشـف حضور يومي'!FD13</f>
        <v>0</v>
      </c>
      <c r="E32" s="105">
        <f>'كـشـف حضور يومي'!FE13</f>
        <v>0</v>
      </c>
      <c r="F32" s="106">
        <f>H32-مراجع!$B$2</f>
        <v>-0.33333333333333331</v>
      </c>
      <c r="G32" s="106">
        <f>مراجع!$B$2-H32</f>
        <v>0.33333333333333331</v>
      </c>
      <c r="H32" s="105">
        <f t="shared" si="0"/>
        <v>0</v>
      </c>
      <c r="I32" s="107">
        <f>'كـشـف حضور يومي'!FI13</f>
        <v>0</v>
      </c>
    </row>
    <row r="33" spans="1:9" ht="21.95" customHeight="1" x14ac:dyDescent="0.2">
      <c r="A33" s="145">
        <f>'كـشـف حضور يومي'!FJ1</f>
        <v>1</v>
      </c>
      <c r="B33" s="146" t="str">
        <f>'كـشـف حضور يومي'!FJ2</f>
        <v>السبت</v>
      </c>
      <c r="C33" s="217"/>
      <c r="D33" s="105">
        <f>'كـشـف حضور يومي'!FJ13</f>
        <v>0</v>
      </c>
      <c r="E33" s="105">
        <f>'كـشـف حضور يومي'!FK13</f>
        <v>0</v>
      </c>
      <c r="F33" s="106">
        <f>H33-مراجع!$B$2</f>
        <v>-0.33333333333333331</v>
      </c>
      <c r="G33" s="106">
        <f>مراجع!$B$2-H33</f>
        <v>0.33333333333333331</v>
      </c>
      <c r="H33" s="105">
        <f t="shared" si="0"/>
        <v>0</v>
      </c>
      <c r="I33" s="107">
        <f>'كـشـف حضور يومي'!FO13</f>
        <v>0</v>
      </c>
    </row>
    <row r="34" spans="1:9" ht="21.95" customHeight="1" x14ac:dyDescent="0.2">
      <c r="A34" s="145">
        <f>'كـشـف حضور يومي'!FP1</f>
        <v>1</v>
      </c>
      <c r="B34" s="146" t="str">
        <f>'كـشـف حضور يومي'!FP2</f>
        <v>السبت</v>
      </c>
      <c r="C34" s="217"/>
      <c r="D34" s="105">
        <f>'كـشـف حضور يومي'!FP13</f>
        <v>0</v>
      </c>
      <c r="E34" s="105">
        <f>'كـشـف حضور يومي'!FQ13</f>
        <v>0</v>
      </c>
      <c r="F34" s="106">
        <f>H34-مراجع!$B$2</f>
        <v>-0.33333333333333331</v>
      </c>
      <c r="G34" s="106">
        <f>مراجع!$B$2-H34</f>
        <v>0.33333333333333331</v>
      </c>
      <c r="H34" s="105">
        <f t="shared" si="0"/>
        <v>0</v>
      </c>
      <c r="I34" s="107">
        <f>'كـشـف حضور يومي'!FU13</f>
        <v>0</v>
      </c>
    </row>
    <row r="35" spans="1:9" ht="21.95" customHeight="1" x14ac:dyDescent="0.2">
      <c r="A35" s="145">
        <f>'كـشـف حضور يومي'!FV1</f>
        <v>1</v>
      </c>
      <c r="B35" s="146" t="str">
        <f>'كـشـف حضور يومي'!FV2</f>
        <v>السبت</v>
      </c>
      <c r="C35" s="217"/>
      <c r="D35" s="105">
        <f>'كـشـف حضور يومي'!FV13</f>
        <v>0</v>
      </c>
      <c r="E35" s="105">
        <f>'كـشـف حضور يومي'!FW13</f>
        <v>0</v>
      </c>
      <c r="F35" s="106">
        <f>H35-مراجع!$B$2</f>
        <v>-0.33333333333333331</v>
      </c>
      <c r="G35" s="106">
        <f>مراجع!$B$2-H35</f>
        <v>0.33333333333333331</v>
      </c>
      <c r="H35" s="105">
        <f t="shared" si="0"/>
        <v>0</v>
      </c>
      <c r="I35" s="107">
        <f>'كـشـف حضور يومي'!GA13</f>
        <v>0</v>
      </c>
    </row>
    <row r="36" spans="1:9" ht="21.95" customHeight="1" x14ac:dyDescent="0.2">
      <c r="A36" s="145">
        <f>'كـشـف حضور يومي'!GB1</f>
        <v>1</v>
      </c>
      <c r="B36" s="146" t="str">
        <f>'كـشـف حضور يومي'!GB2</f>
        <v>السبت</v>
      </c>
      <c r="C36" s="217"/>
      <c r="D36" s="105">
        <f>'كـشـف حضور يومي'!GB13</f>
        <v>0</v>
      </c>
      <c r="E36" s="105">
        <f>'كـشـف حضور يومي'!GC13</f>
        <v>0</v>
      </c>
      <c r="F36" s="106">
        <f>H36-مراجع!$B$2</f>
        <v>-0.33333333333333331</v>
      </c>
      <c r="G36" s="106">
        <f>مراجع!$B$2-H36</f>
        <v>0.33333333333333331</v>
      </c>
      <c r="H36" s="105">
        <f t="shared" si="0"/>
        <v>0</v>
      </c>
      <c r="I36" s="107">
        <f>'كـشـف حضور يومي'!GG13</f>
        <v>0</v>
      </c>
    </row>
    <row r="37" spans="1:9" ht="21.95" customHeight="1" x14ac:dyDescent="0.2">
      <c r="A37" s="216" t="s">
        <v>64</v>
      </c>
      <c r="B37" s="216"/>
      <c r="C37" s="216"/>
      <c r="D37" s="216"/>
      <c r="E37" s="216"/>
      <c r="F37" s="220">
        <f>SUM(H6:H36)</f>
        <v>0</v>
      </c>
      <c r="G37" s="220"/>
      <c r="H37" s="220"/>
      <c r="I37" s="220"/>
    </row>
    <row r="38" spans="1:9" ht="21.95" customHeight="1" x14ac:dyDescent="0.2">
      <c r="A38" s="215" t="s">
        <v>59</v>
      </c>
      <c r="B38" s="215"/>
      <c r="C38" s="215"/>
      <c r="D38" s="215"/>
      <c r="E38" s="215"/>
      <c r="F38" s="221">
        <f>F37*I2*24</f>
        <v>0</v>
      </c>
      <c r="G38" s="221"/>
      <c r="H38" s="221"/>
      <c r="I38" s="221"/>
    </row>
  </sheetData>
  <sheetProtection algorithmName="SHA-512" hashValue="2TeOBv0mr6dADBiVdIqZvb4RoyguwRcZue/is4JVCSaQ+XlNcxbXXFVnfGzapnbeErA2Jtt7FlHlsjGJCABkfw==" saltValue="0WncGHdDx2Oe26p0MIu/ag==" spinCount="100000" sheet="1" objects="1" scenarios="1"/>
  <mergeCells count="14">
    <mergeCell ref="A37:E37"/>
    <mergeCell ref="F37:I37"/>
    <mergeCell ref="A38:E38"/>
    <mergeCell ref="F38:I38"/>
    <mergeCell ref="A3:I3"/>
    <mergeCell ref="A4:B4"/>
    <mergeCell ref="H4:I4"/>
    <mergeCell ref="C4:E4"/>
    <mergeCell ref="C5:C36"/>
    <mergeCell ref="A1:B1"/>
    <mergeCell ref="D1:F2"/>
    <mergeCell ref="G1:H1"/>
    <mergeCell ref="A2:B2"/>
    <mergeCell ref="G2:H2"/>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F7B5EE4C-547E-43C2-AB7C-1A595A3A5CFA}">
          <x14:formula1>
            <xm:f>مراجع!$B$4:$B$15</xm:f>
          </x14:formula1>
          <xm:sqref>C4:E4</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X38"/>
  <sheetViews>
    <sheetView rightToLeft="1" zoomScaleNormal="100" workbookViewId="0">
      <pane ySplit="5" topLeftCell="A6" activePane="bottomLeft" state="frozen"/>
      <selection pane="bottomLeft" activeCell="H11" sqref="H11"/>
    </sheetView>
  </sheetViews>
  <sheetFormatPr defaultColWidth="9.125" defaultRowHeight="20.100000000000001" customHeight="1" x14ac:dyDescent="0.2"/>
  <cols>
    <col min="1" max="9" width="12.75" style="86" customWidth="1"/>
    <col min="10" max="10" width="79.625" style="86" customWidth="1"/>
    <col min="11" max="11" width="4.625" style="85" bestFit="1" customWidth="1"/>
    <col min="12" max="12" width="9.125" style="85" bestFit="1" customWidth="1"/>
    <col min="13" max="13" width="6.375" style="85" bestFit="1" customWidth="1"/>
    <col min="14" max="14" width="10.125" style="85" bestFit="1" customWidth="1"/>
    <col min="15" max="15" width="7.875" style="85" bestFit="1" customWidth="1"/>
    <col min="16" max="16" width="9.125" style="85" bestFit="1" customWidth="1"/>
    <col min="17" max="17" width="9.75" style="85" bestFit="1" customWidth="1"/>
    <col min="18" max="18" width="9" style="85" bestFit="1" customWidth="1"/>
    <col min="19" max="20" width="6.625" style="85" bestFit="1" customWidth="1"/>
    <col min="21" max="21" width="10.125" style="85" bestFit="1" customWidth="1"/>
    <col min="22" max="16384" width="9.125" style="85"/>
  </cols>
  <sheetData>
    <row r="1" spans="1:24" ht="21.95" customHeight="1" x14ac:dyDescent="0.2">
      <c r="A1" s="208" t="s">
        <v>43</v>
      </c>
      <c r="B1" s="208"/>
      <c r="C1" s="96" t="s">
        <v>82</v>
      </c>
      <c r="D1" s="209"/>
      <c r="E1" s="209"/>
      <c r="F1" s="209"/>
      <c r="G1" s="208" t="s">
        <v>21</v>
      </c>
      <c r="H1" s="208"/>
      <c r="I1" s="97" t="s">
        <v>82</v>
      </c>
      <c r="J1"/>
      <c r="K1"/>
      <c r="N1" s="89"/>
      <c r="O1" s="89"/>
      <c r="P1" s="89"/>
      <c r="Q1" s="89"/>
      <c r="R1" s="89"/>
      <c r="S1" s="89"/>
      <c r="T1" s="89"/>
      <c r="U1" s="89"/>
      <c r="V1" s="89"/>
      <c r="W1" s="89"/>
      <c r="X1" s="89"/>
    </row>
    <row r="2" spans="1:24" ht="21.95" customHeight="1" x14ac:dyDescent="0.2">
      <c r="A2" s="207" t="s">
        <v>52</v>
      </c>
      <c r="B2" s="207"/>
      <c r="C2" s="98" t="s">
        <v>82</v>
      </c>
      <c r="D2" s="209"/>
      <c r="E2" s="209"/>
      <c r="F2" s="209"/>
      <c r="G2" s="207" t="s">
        <v>53</v>
      </c>
      <c r="H2" s="207"/>
      <c r="I2" s="99">
        <v>15</v>
      </c>
      <c r="J2"/>
      <c r="K2"/>
      <c r="L2" s="118"/>
      <c r="O2" s="87"/>
      <c r="P2" s="88"/>
      <c r="Q2" s="88"/>
      <c r="R2" s="88"/>
      <c r="S2" s="88"/>
      <c r="T2" s="88"/>
      <c r="U2" s="88"/>
      <c r="V2" s="88"/>
      <c r="W2" s="88"/>
      <c r="X2" s="88"/>
    </row>
    <row r="3" spans="1:24" ht="21.95" customHeight="1" x14ac:dyDescent="0.2">
      <c r="A3" s="223" t="s">
        <v>40</v>
      </c>
      <c r="B3" s="223"/>
      <c r="C3" s="223"/>
      <c r="D3" s="223"/>
      <c r="E3" s="223"/>
      <c r="F3" s="223"/>
      <c r="G3" s="223"/>
      <c r="H3" s="223"/>
      <c r="I3" s="223"/>
      <c r="J3" s="92"/>
      <c r="K3" s="86"/>
      <c r="L3" s="86"/>
      <c r="M3" s="86"/>
      <c r="N3" s="86"/>
      <c r="O3" s="86"/>
      <c r="P3" s="86"/>
      <c r="Q3" s="90"/>
      <c r="R3" s="90"/>
      <c r="S3" s="90"/>
      <c r="T3" s="90"/>
    </row>
    <row r="4" spans="1:24" ht="21.95" customHeight="1" x14ac:dyDescent="0.2">
      <c r="A4" s="213" t="s">
        <v>4</v>
      </c>
      <c r="B4" s="213"/>
      <c r="C4" s="213" t="s">
        <v>42</v>
      </c>
      <c r="D4" s="213"/>
      <c r="E4" s="213"/>
      <c r="F4" s="144" t="s">
        <v>54</v>
      </c>
      <c r="G4" s="144"/>
      <c r="H4" s="214" t="s">
        <v>82</v>
      </c>
      <c r="I4" s="214"/>
      <c r="J4" s="92"/>
      <c r="K4" s="86"/>
      <c r="L4" s="86"/>
      <c r="M4" s="86"/>
      <c r="N4" s="86"/>
      <c r="O4" s="86"/>
      <c r="P4" s="86"/>
      <c r="Q4" s="90"/>
      <c r="R4" s="90"/>
      <c r="S4" s="90"/>
      <c r="T4" s="90"/>
    </row>
    <row r="5" spans="1:24" ht="21.95" customHeight="1" x14ac:dyDescent="0.2">
      <c r="A5" s="100" t="s">
        <v>56</v>
      </c>
      <c r="B5" s="100" t="s">
        <v>55</v>
      </c>
      <c r="C5" s="217"/>
      <c r="D5" s="102" t="s">
        <v>23</v>
      </c>
      <c r="E5" s="102" t="s">
        <v>24</v>
      </c>
      <c r="F5" s="103" t="s">
        <v>57</v>
      </c>
      <c r="G5" s="104" t="s">
        <v>58</v>
      </c>
      <c r="H5" s="102" t="s">
        <v>17</v>
      </c>
      <c r="I5" s="102" t="s">
        <v>25</v>
      </c>
      <c r="J5" s="93"/>
    </row>
    <row r="6" spans="1:24" ht="21.95" customHeight="1" x14ac:dyDescent="0.2">
      <c r="A6" s="145">
        <f>'كـشـف حضور يومي'!D1</f>
        <v>1</v>
      </c>
      <c r="B6" s="146" t="str">
        <f>'كـشـف حضور يومي'!D2</f>
        <v>السبت</v>
      </c>
      <c r="C6" s="217"/>
      <c r="D6" s="105">
        <f>'كـشـف حضور يومي'!D14</f>
        <v>0</v>
      </c>
      <c r="E6" s="105">
        <f>'كـشـف حضور يومي'!E14</f>
        <v>0</v>
      </c>
      <c r="F6" s="106">
        <f>H6-مراجع!$B$2</f>
        <v>-0.33333333333333331</v>
      </c>
      <c r="G6" s="106">
        <f>مراجع!$B$2-H6</f>
        <v>0.33333333333333331</v>
      </c>
      <c r="H6" s="105">
        <f>SUM(E6-D6)</f>
        <v>0</v>
      </c>
      <c r="I6" s="107">
        <f>'كـشـف حضور يومي'!I14</f>
        <v>0</v>
      </c>
      <c r="J6" s="94"/>
    </row>
    <row r="7" spans="1:24" ht="21.95" customHeight="1" x14ac:dyDescent="0.2">
      <c r="A7" s="145">
        <f>'كـشـف حضور يومي'!J1</f>
        <v>1</v>
      </c>
      <c r="B7" s="146" t="str">
        <f>'كـشـف حضور يومي'!J2</f>
        <v>السبت</v>
      </c>
      <c r="C7" s="217"/>
      <c r="D7" s="105">
        <f>'كـشـف حضور يومي'!J14</f>
        <v>0</v>
      </c>
      <c r="E7" s="105">
        <f>'كـشـف حضور يومي'!K14</f>
        <v>0</v>
      </c>
      <c r="F7" s="106">
        <f>H7-مراجع!$B$2</f>
        <v>-0.33333333333333331</v>
      </c>
      <c r="G7" s="106">
        <f>مراجع!$B$2-H7</f>
        <v>0.33333333333333331</v>
      </c>
      <c r="H7" s="105">
        <f>SUM(E7-D7)</f>
        <v>0</v>
      </c>
      <c r="I7" s="107">
        <f>'كـشـف حضور يومي'!O14</f>
        <v>0</v>
      </c>
      <c r="J7" s="94"/>
    </row>
    <row r="8" spans="1:24" ht="21.95" customHeight="1" x14ac:dyDescent="0.2">
      <c r="A8" s="145">
        <f>'كـشـف حضور يومي'!P1</f>
        <v>1</v>
      </c>
      <c r="B8" s="146" t="str">
        <f>'كـشـف حضور يومي'!P2</f>
        <v>السبت</v>
      </c>
      <c r="C8" s="217"/>
      <c r="D8" s="105">
        <f>'كـشـف حضور يومي'!P14</f>
        <v>0</v>
      </c>
      <c r="E8" s="105">
        <f>'كـشـف حضور يومي'!Q14</f>
        <v>0</v>
      </c>
      <c r="F8" s="106">
        <f>H8-مراجع!$B$2</f>
        <v>-0.33333333333333331</v>
      </c>
      <c r="G8" s="106">
        <f>مراجع!$B$2-H8</f>
        <v>0.33333333333333331</v>
      </c>
      <c r="H8" s="105">
        <f t="shared" ref="H8:H36" si="0">SUM(E8-D8)</f>
        <v>0</v>
      </c>
      <c r="I8" s="107">
        <f>'كـشـف حضور يومي'!U14</f>
        <v>0</v>
      </c>
      <c r="J8" s="94"/>
    </row>
    <row r="9" spans="1:24" ht="21.95" customHeight="1" x14ac:dyDescent="0.2">
      <c r="A9" s="145">
        <f>'كـشـف حضور يومي'!V1</f>
        <v>1</v>
      </c>
      <c r="B9" s="147" t="str">
        <f>'كـشـف حضور يومي'!V2</f>
        <v>السبت</v>
      </c>
      <c r="C9" s="217"/>
      <c r="D9" s="105">
        <f>'كـشـف حضور يومي'!V14</f>
        <v>0</v>
      </c>
      <c r="E9" s="105">
        <f>'كـشـف حضور يومي'!W14</f>
        <v>0</v>
      </c>
      <c r="F9" s="106">
        <f>H9-مراجع!$B$2</f>
        <v>-0.33333333333333331</v>
      </c>
      <c r="G9" s="106">
        <f>مراجع!$B$2-H9</f>
        <v>0.33333333333333331</v>
      </c>
      <c r="H9" s="105">
        <f t="shared" si="0"/>
        <v>0</v>
      </c>
      <c r="I9" s="107">
        <f>'كـشـف حضور يومي'!AA14</f>
        <v>0</v>
      </c>
      <c r="J9" s="94"/>
    </row>
    <row r="10" spans="1:24" ht="21.95" customHeight="1" x14ac:dyDescent="0.2">
      <c r="A10" s="145">
        <f>'كـشـف حضور يومي'!AB1</f>
        <v>1</v>
      </c>
      <c r="B10" s="146" t="str">
        <f>'كـشـف حضور يومي'!AB2</f>
        <v>السبت</v>
      </c>
      <c r="C10" s="217"/>
      <c r="D10" s="105">
        <f>'كـشـف حضور يومي'!AB14</f>
        <v>0</v>
      </c>
      <c r="E10" s="105">
        <f>'كـشـف حضور يومي'!AC14</f>
        <v>0</v>
      </c>
      <c r="F10" s="106">
        <f>H10-مراجع!$B$2</f>
        <v>-0.33333333333333331</v>
      </c>
      <c r="G10" s="106">
        <f>مراجع!$B$2-H10</f>
        <v>0.33333333333333331</v>
      </c>
      <c r="H10" s="105">
        <f t="shared" si="0"/>
        <v>0</v>
      </c>
      <c r="I10" s="107">
        <f>'كـشـف حضور يومي'!AG14</f>
        <v>0</v>
      </c>
      <c r="J10" s="94"/>
    </row>
    <row r="11" spans="1:24" ht="21.95" customHeight="1" x14ac:dyDescent="0.2">
      <c r="A11" s="145">
        <f>'كـشـف حضور يومي'!AH1</f>
        <v>1</v>
      </c>
      <c r="B11" s="146" t="str">
        <f>'كـشـف حضور يومي'!AH2</f>
        <v>السبت</v>
      </c>
      <c r="C11" s="217"/>
      <c r="D11" s="105">
        <f>'كـشـف حضور يومي'!AH14</f>
        <v>0</v>
      </c>
      <c r="E11" s="105">
        <f>'كـشـف حضور يومي'!AI14</f>
        <v>0</v>
      </c>
      <c r="F11" s="106">
        <f>H11-مراجع!$B$2</f>
        <v>-0.33333333333333331</v>
      </c>
      <c r="G11" s="106">
        <f>مراجع!$B$2-H11</f>
        <v>0.33333333333333331</v>
      </c>
      <c r="H11" s="105">
        <f t="shared" si="0"/>
        <v>0</v>
      </c>
      <c r="I11" s="107">
        <f>'كـشـف حضور يومي'!AM14</f>
        <v>0</v>
      </c>
      <c r="J11" s="94"/>
    </row>
    <row r="12" spans="1:24" ht="21.95" customHeight="1" x14ac:dyDescent="0.2">
      <c r="A12" s="145">
        <f>'كـشـف حضور يومي'!AN1</f>
        <v>1</v>
      </c>
      <c r="B12" s="146" t="str">
        <f>'كـشـف حضور يومي'!AN2</f>
        <v>السبت</v>
      </c>
      <c r="C12" s="217"/>
      <c r="D12" s="105">
        <f>'كـشـف حضور يومي'!AN14</f>
        <v>0</v>
      </c>
      <c r="E12" s="105">
        <f>'كـشـف حضور يومي'!AO14</f>
        <v>0</v>
      </c>
      <c r="F12" s="106">
        <f>H12-مراجع!$B$2</f>
        <v>-0.33333333333333331</v>
      </c>
      <c r="G12" s="106">
        <f>مراجع!$B$2-H12</f>
        <v>0.33333333333333331</v>
      </c>
      <c r="H12" s="105">
        <f t="shared" si="0"/>
        <v>0</v>
      </c>
      <c r="I12" s="107">
        <f>'كـشـف حضور يومي'!AS14</f>
        <v>0</v>
      </c>
      <c r="J12" s="94"/>
      <c r="P12" s="95"/>
    </row>
    <row r="13" spans="1:24" ht="21.95" customHeight="1" x14ac:dyDescent="0.2">
      <c r="A13" s="145">
        <f>'كـشـف حضور يومي'!AT1</f>
        <v>1</v>
      </c>
      <c r="B13" s="146" t="str">
        <f>'كـشـف حضور يومي'!AT2</f>
        <v>السبت</v>
      </c>
      <c r="C13" s="217"/>
      <c r="D13" s="105">
        <f>'كـشـف حضور يومي'!AT14</f>
        <v>0</v>
      </c>
      <c r="E13" s="105">
        <f>'كـشـف حضور يومي'!AU14</f>
        <v>0</v>
      </c>
      <c r="F13" s="106">
        <f>H13-مراجع!$B$2</f>
        <v>-0.33333333333333331</v>
      </c>
      <c r="G13" s="106">
        <f>مراجع!$B$2-H13</f>
        <v>0.33333333333333331</v>
      </c>
      <c r="H13" s="105">
        <f t="shared" si="0"/>
        <v>0</v>
      </c>
      <c r="I13" s="107">
        <f>'كـشـف حضور يومي'!AY14</f>
        <v>0</v>
      </c>
      <c r="J13" s="94"/>
    </row>
    <row r="14" spans="1:24" ht="21.95" customHeight="1" x14ac:dyDescent="0.2">
      <c r="A14" s="145">
        <f>'كـشـف حضور يومي'!AZ1</f>
        <v>1</v>
      </c>
      <c r="B14" s="146" t="str">
        <f>'كـشـف حضور يومي'!AZ2</f>
        <v>السبت</v>
      </c>
      <c r="C14" s="217"/>
      <c r="D14" s="105">
        <f>'كـشـف حضور يومي'!AZ14</f>
        <v>0</v>
      </c>
      <c r="E14" s="105">
        <f>'كـشـف حضور يومي'!BA14</f>
        <v>0</v>
      </c>
      <c r="F14" s="106">
        <f>H14-مراجع!$B$2</f>
        <v>-0.33333333333333331</v>
      </c>
      <c r="G14" s="106">
        <f>مراجع!$B$2-H14</f>
        <v>0.33333333333333331</v>
      </c>
      <c r="H14" s="105">
        <f t="shared" si="0"/>
        <v>0</v>
      </c>
      <c r="I14" s="107">
        <f>'كـشـف حضور يومي'!BE14</f>
        <v>0</v>
      </c>
      <c r="J14" s="94"/>
    </row>
    <row r="15" spans="1:24" ht="21.95" customHeight="1" x14ac:dyDescent="0.2">
      <c r="A15" s="145">
        <f>'كـشـف حضور يومي'!BF1</f>
        <v>1</v>
      </c>
      <c r="B15" s="146" t="str">
        <f>'كـشـف حضور يومي'!BF2</f>
        <v>السبت</v>
      </c>
      <c r="C15" s="217"/>
      <c r="D15" s="105">
        <f>'كـشـف حضور يومي'!BF14</f>
        <v>0</v>
      </c>
      <c r="E15" s="105">
        <f>'كـشـف حضور يومي'!BG14</f>
        <v>0</v>
      </c>
      <c r="F15" s="106">
        <f>H15-مراجع!$B$2</f>
        <v>-0.33333333333333331</v>
      </c>
      <c r="G15" s="106">
        <f>مراجع!$B$2-H15</f>
        <v>0.33333333333333331</v>
      </c>
      <c r="H15" s="105">
        <f t="shared" si="0"/>
        <v>0</v>
      </c>
      <c r="I15" s="107">
        <f>'كـشـف حضور يومي'!BK14</f>
        <v>0</v>
      </c>
      <c r="J15" s="94"/>
    </row>
    <row r="16" spans="1:24" ht="21.95" customHeight="1" x14ac:dyDescent="0.2">
      <c r="A16" s="145">
        <f>'كـشـف حضور يومي'!BL1</f>
        <v>1</v>
      </c>
      <c r="B16" s="146" t="str">
        <f>'كـشـف حضور يومي'!BL2</f>
        <v>السبت</v>
      </c>
      <c r="C16" s="217"/>
      <c r="D16" s="105">
        <f>'كـشـف حضور يومي'!BL14</f>
        <v>0</v>
      </c>
      <c r="E16" s="105">
        <f>'كـشـف حضور يومي'!BM14</f>
        <v>0</v>
      </c>
      <c r="F16" s="106">
        <f>H16-مراجع!$B$2</f>
        <v>-0.33333333333333331</v>
      </c>
      <c r="G16" s="106">
        <f>مراجع!$B$2-H16</f>
        <v>0.33333333333333331</v>
      </c>
      <c r="H16" s="105">
        <f t="shared" si="0"/>
        <v>0</v>
      </c>
      <c r="I16" s="107">
        <f>'كـشـف حضور يومي'!BQ14</f>
        <v>0</v>
      </c>
      <c r="J16" s="94"/>
    </row>
    <row r="17" spans="1:15" ht="21.95" customHeight="1" x14ac:dyDescent="0.2">
      <c r="A17" s="145">
        <f>'كـشـف حضور يومي'!BR1</f>
        <v>1</v>
      </c>
      <c r="B17" s="146" t="str">
        <f>'كـشـف حضور يومي'!BR2</f>
        <v>السبت</v>
      </c>
      <c r="C17" s="217"/>
      <c r="D17" s="105">
        <f>'كـشـف حضور يومي'!BR14</f>
        <v>0</v>
      </c>
      <c r="E17" s="105">
        <f>'كـشـف حضور يومي'!BS14</f>
        <v>0</v>
      </c>
      <c r="F17" s="106">
        <f>H17-مراجع!$B$2</f>
        <v>-0.33333333333333331</v>
      </c>
      <c r="G17" s="106">
        <f>مراجع!$B$2-H17</f>
        <v>0.33333333333333331</v>
      </c>
      <c r="H17" s="105">
        <f t="shared" si="0"/>
        <v>0</v>
      </c>
      <c r="I17" s="107">
        <f>'كـشـف حضور يومي'!BW14</f>
        <v>0</v>
      </c>
      <c r="J17" s="94"/>
    </row>
    <row r="18" spans="1:15" ht="21.95" customHeight="1" x14ac:dyDescent="0.2">
      <c r="A18" s="145">
        <f>'كـشـف حضور يومي'!BX1</f>
        <v>1</v>
      </c>
      <c r="B18" s="146" t="str">
        <f>'كـشـف حضور يومي'!BX2</f>
        <v>السبت</v>
      </c>
      <c r="C18" s="217"/>
      <c r="D18" s="105">
        <f>'كـشـف حضور يومي'!BX14</f>
        <v>0</v>
      </c>
      <c r="E18" s="105">
        <f>'كـشـف حضور يومي'!BY14</f>
        <v>0</v>
      </c>
      <c r="F18" s="106">
        <f>H18-مراجع!$B$2</f>
        <v>-0.33333333333333331</v>
      </c>
      <c r="G18" s="106">
        <f>مراجع!$B$2-H18</f>
        <v>0.33333333333333331</v>
      </c>
      <c r="H18" s="105">
        <f t="shared" si="0"/>
        <v>0</v>
      </c>
      <c r="I18" s="107">
        <f>'كـشـف حضور يومي'!CC14</f>
        <v>0</v>
      </c>
    </row>
    <row r="19" spans="1:15" ht="21.95" customHeight="1" x14ac:dyDescent="0.2">
      <c r="A19" s="145">
        <f>'كـشـف حضور يومي'!CD1</f>
        <v>1</v>
      </c>
      <c r="B19" s="146" t="str">
        <f>'كـشـف حضور يومي'!CD2</f>
        <v>السبت</v>
      </c>
      <c r="C19" s="217"/>
      <c r="D19" s="105">
        <f>'كـشـف حضور يومي'!CD14</f>
        <v>0</v>
      </c>
      <c r="E19" s="105">
        <f>'كـشـف حضور يومي'!CE14</f>
        <v>0</v>
      </c>
      <c r="F19" s="106">
        <f>H19-مراجع!$B$2</f>
        <v>-0.33333333333333331</v>
      </c>
      <c r="G19" s="106">
        <f>مراجع!$B$2-H19</f>
        <v>0.33333333333333331</v>
      </c>
      <c r="H19" s="105">
        <f t="shared" si="0"/>
        <v>0</v>
      </c>
      <c r="I19" s="107">
        <f>'كـشـف حضور يومي'!CI14</f>
        <v>0</v>
      </c>
    </row>
    <row r="20" spans="1:15" ht="21.95" customHeight="1" x14ac:dyDescent="0.2">
      <c r="A20" s="145">
        <f>'كـشـف حضور يومي'!CJ1</f>
        <v>1</v>
      </c>
      <c r="B20" s="146" t="str">
        <f>'كـشـف حضور يومي'!CJ2</f>
        <v>السبت</v>
      </c>
      <c r="C20" s="217"/>
      <c r="D20" s="105">
        <f>'كـشـف حضور يومي'!CJ14</f>
        <v>0</v>
      </c>
      <c r="E20" s="105">
        <f>'كـشـف حضور يومي'!CK14</f>
        <v>0</v>
      </c>
      <c r="F20" s="106">
        <f>H20-مراجع!$B$2</f>
        <v>-0.33333333333333331</v>
      </c>
      <c r="G20" s="106">
        <f>مراجع!$B$2-H20</f>
        <v>0.33333333333333331</v>
      </c>
      <c r="H20" s="105">
        <f t="shared" si="0"/>
        <v>0</v>
      </c>
      <c r="I20" s="107">
        <f>'كـشـف حضور يومي'!CO14</f>
        <v>0</v>
      </c>
      <c r="O20" s="91"/>
    </row>
    <row r="21" spans="1:15" ht="21.95" customHeight="1" x14ac:dyDescent="0.2">
      <c r="A21" s="145">
        <f>'كـشـف حضور يومي'!CP1</f>
        <v>1</v>
      </c>
      <c r="B21" s="146" t="str">
        <f>'كـشـف حضور يومي'!CP2</f>
        <v>السبت</v>
      </c>
      <c r="C21" s="217"/>
      <c r="D21" s="105">
        <f>'كـشـف حضور يومي'!CP14</f>
        <v>0</v>
      </c>
      <c r="E21" s="105">
        <f>'كـشـف حضور يومي'!CQ14</f>
        <v>0</v>
      </c>
      <c r="F21" s="106">
        <f>H21-مراجع!$B$2</f>
        <v>-0.33333333333333331</v>
      </c>
      <c r="G21" s="106">
        <f>مراجع!$B$2-H21</f>
        <v>0.33333333333333331</v>
      </c>
      <c r="H21" s="105">
        <f t="shared" si="0"/>
        <v>0</v>
      </c>
      <c r="I21" s="107">
        <f>'كـشـف حضور يومي'!CU14</f>
        <v>0</v>
      </c>
    </row>
    <row r="22" spans="1:15" ht="21.95" customHeight="1" x14ac:dyDescent="0.2">
      <c r="A22" s="145">
        <f>'كـشـف حضور يومي'!CV1</f>
        <v>1</v>
      </c>
      <c r="B22" s="146" t="str">
        <f>'كـشـف حضور يومي'!CV2</f>
        <v>السبت</v>
      </c>
      <c r="C22" s="217"/>
      <c r="D22" s="105">
        <f>'كـشـف حضور يومي'!CV14</f>
        <v>0</v>
      </c>
      <c r="E22" s="105">
        <f>'كـشـف حضور يومي'!CW14</f>
        <v>0</v>
      </c>
      <c r="F22" s="106">
        <f>H22-مراجع!$B$2</f>
        <v>-0.33333333333333331</v>
      </c>
      <c r="G22" s="106">
        <f>مراجع!$B$2-H22</f>
        <v>0.33333333333333331</v>
      </c>
      <c r="H22" s="105">
        <f t="shared" si="0"/>
        <v>0</v>
      </c>
      <c r="I22" s="107">
        <f>'كـشـف حضور يومي'!DA14</f>
        <v>0</v>
      </c>
    </row>
    <row r="23" spans="1:15" ht="21.95" customHeight="1" x14ac:dyDescent="0.2">
      <c r="A23" s="145">
        <f>'كـشـف حضور يومي'!DB1</f>
        <v>1</v>
      </c>
      <c r="B23" s="146" t="str">
        <f>'كـشـف حضور يومي'!DB2</f>
        <v>السبت</v>
      </c>
      <c r="C23" s="217"/>
      <c r="D23" s="105">
        <f>'كـشـف حضور يومي'!DB14</f>
        <v>0</v>
      </c>
      <c r="E23" s="105">
        <f>'كـشـف حضور يومي'!DC14</f>
        <v>0</v>
      </c>
      <c r="F23" s="106">
        <f>H23-مراجع!$B$2</f>
        <v>-0.33333333333333331</v>
      </c>
      <c r="G23" s="106">
        <f>مراجع!$B$2-H23</f>
        <v>0.33333333333333331</v>
      </c>
      <c r="H23" s="105">
        <f t="shared" si="0"/>
        <v>0</v>
      </c>
      <c r="I23" s="107">
        <f>'كـشـف حضور يومي'!DG14</f>
        <v>0</v>
      </c>
    </row>
    <row r="24" spans="1:15" ht="21.95" customHeight="1" x14ac:dyDescent="0.2">
      <c r="A24" s="145">
        <f>'كـشـف حضور يومي'!DH1</f>
        <v>1</v>
      </c>
      <c r="B24" s="146" t="str">
        <f>'كـشـف حضور يومي'!DH2</f>
        <v>السبت</v>
      </c>
      <c r="C24" s="217"/>
      <c r="D24" s="105">
        <f>'كـشـف حضور يومي'!DH14</f>
        <v>0</v>
      </c>
      <c r="E24" s="105">
        <f>'كـشـف حضور يومي'!DI14</f>
        <v>0</v>
      </c>
      <c r="F24" s="106">
        <f>H24-مراجع!$B$2</f>
        <v>-0.33333333333333331</v>
      </c>
      <c r="G24" s="106">
        <f>مراجع!$B$2-H24</f>
        <v>0.33333333333333331</v>
      </c>
      <c r="H24" s="105">
        <f t="shared" si="0"/>
        <v>0</v>
      </c>
      <c r="I24" s="107">
        <f>'كـشـف حضور يومي'!DM14</f>
        <v>0</v>
      </c>
    </row>
    <row r="25" spans="1:15" ht="21.95" customHeight="1" x14ac:dyDescent="0.2">
      <c r="A25" s="145">
        <f>'كـشـف حضور يومي'!DN1</f>
        <v>1</v>
      </c>
      <c r="B25" s="146" t="str">
        <f>'كـشـف حضور يومي'!DN2</f>
        <v>السبت</v>
      </c>
      <c r="C25" s="217"/>
      <c r="D25" s="105">
        <f>'كـشـف حضور يومي'!DN14</f>
        <v>0</v>
      </c>
      <c r="E25" s="105">
        <f>'كـشـف حضور يومي'!DO14</f>
        <v>0</v>
      </c>
      <c r="F25" s="106">
        <f>H25-مراجع!$B$2</f>
        <v>-0.33333333333333331</v>
      </c>
      <c r="G25" s="106">
        <f>مراجع!$B$2-H25</f>
        <v>0.33333333333333331</v>
      </c>
      <c r="H25" s="105">
        <f t="shared" si="0"/>
        <v>0</v>
      </c>
      <c r="I25" s="107">
        <f>'كـشـف حضور يومي'!DS14</f>
        <v>0</v>
      </c>
    </row>
    <row r="26" spans="1:15" ht="21.95" customHeight="1" x14ac:dyDescent="0.2">
      <c r="A26" s="145">
        <f>'كـشـف حضور يومي'!DT1</f>
        <v>1</v>
      </c>
      <c r="B26" s="146" t="str">
        <f>'كـشـف حضور يومي'!DT2</f>
        <v>السبت</v>
      </c>
      <c r="C26" s="217"/>
      <c r="D26" s="105">
        <f>'كـشـف حضور يومي'!DT14</f>
        <v>0</v>
      </c>
      <c r="E26" s="105">
        <f>'كـشـف حضور يومي'!DU14</f>
        <v>0</v>
      </c>
      <c r="F26" s="106">
        <f>H26-مراجع!$B$2</f>
        <v>-0.33333333333333331</v>
      </c>
      <c r="G26" s="106">
        <f>مراجع!$B$2-H26</f>
        <v>0.33333333333333331</v>
      </c>
      <c r="H26" s="105">
        <f t="shared" si="0"/>
        <v>0</v>
      </c>
      <c r="I26" s="107">
        <f>'كـشـف حضور يومي'!DY14</f>
        <v>0</v>
      </c>
    </row>
    <row r="27" spans="1:15" ht="21.95" customHeight="1" x14ac:dyDescent="0.2">
      <c r="A27" s="145">
        <f>'كـشـف حضور يومي'!DZ1</f>
        <v>1</v>
      </c>
      <c r="B27" s="146" t="str">
        <f>'كـشـف حضور يومي'!DZ2</f>
        <v>السبت</v>
      </c>
      <c r="C27" s="217"/>
      <c r="D27" s="105">
        <f>'كـشـف حضور يومي'!DZ14</f>
        <v>0</v>
      </c>
      <c r="E27" s="105">
        <f>'كـشـف حضور يومي'!EA14</f>
        <v>0</v>
      </c>
      <c r="F27" s="106">
        <f>H27-مراجع!$B$2</f>
        <v>-0.33333333333333331</v>
      </c>
      <c r="G27" s="106">
        <f>مراجع!$B$2-H27</f>
        <v>0.33333333333333331</v>
      </c>
      <c r="H27" s="105">
        <f t="shared" si="0"/>
        <v>0</v>
      </c>
      <c r="I27" s="107">
        <f>'كـشـف حضور يومي'!EE14</f>
        <v>0</v>
      </c>
    </row>
    <row r="28" spans="1:15" ht="21.95" customHeight="1" x14ac:dyDescent="0.2">
      <c r="A28" s="145">
        <f>'كـشـف حضور يومي'!EF1</f>
        <v>1</v>
      </c>
      <c r="B28" s="146" t="str">
        <f>'كـشـف حضور يومي'!EF2</f>
        <v>السبت</v>
      </c>
      <c r="C28" s="217"/>
      <c r="D28" s="105">
        <f>'كـشـف حضور يومي'!EF14</f>
        <v>0</v>
      </c>
      <c r="E28" s="105">
        <f>'كـشـف حضور يومي'!EG14</f>
        <v>0</v>
      </c>
      <c r="F28" s="106">
        <f>H28-مراجع!$B$2</f>
        <v>-0.33333333333333331</v>
      </c>
      <c r="G28" s="106">
        <f>مراجع!$B$2-H28</f>
        <v>0.33333333333333331</v>
      </c>
      <c r="H28" s="105">
        <f t="shared" si="0"/>
        <v>0</v>
      </c>
      <c r="I28" s="107">
        <f>'كـشـف حضور يومي'!EK13</f>
        <v>0</v>
      </c>
    </row>
    <row r="29" spans="1:15" ht="21.95" customHeight="1" x14ac:dyDescent="0.2">
      <c r="A29" s="145">
        <f>'كـشـف حضور يومي'!EL1</f>
        <v>1</v>
      </c>
      <c r="B29" s="146" t="str">
        <f>'كـشـف حضور يومي'!EL2</f>
        <v>السبت</v>
      </c>
      <c r="C29" s="217"/>
      <c r="D29" s="105">
        <f>'كـشـف حضور يومي'!EL14</f>
        <v>0</v>
      </c>
      <c r="E29" s="105">
        <f>'كـشـف حضور يومي'!EM14</f>
        <v>0</v>
      </c>
      <c r="F29" s="106">
        <f>H29-مراجع!$B$2</f>
        <v>-0.33333333333333331</v>
      </c>
      <c r="G29" s="106">
        <f>مراجع!$B$2-H29</f>
        <v>0.33333333333333331</v>
      </c>
      <c r="H29" s="105">
        <f t="shared" si="0"/>
        <v>0</v>
      </c>
      <c r="I29" s="107">
        <f>'كـشـف حضور يومي'!EQ14</f>
        <v>0</v>
      </c>
    </row>
    <row r="30" spans="1:15" ht="21.95" customHeight="1" x14ac:dyDescent="0.2">
      <c r="A30" s="145">
        <f>'كـشـف حضور يومي'!ER1</f>
        <v>1</v>
      </c>
      <c r="B30" s="146" t="str">
        <f>'كـشـف حضور يومي'!ER2</f>
        <v>السبت</v>
      </c>
      <c r="C30" s="217"/>
      <c r="D30" s="105">
        <f>'كـشـف حضور يومي'!ER14</f>
        <v>0</v>
      </c>
      <c r="E30" s="105">
        <f>'كـشـف حضور يومي'!ES14</f>
        <v>0</v>
      </c>
      <c r="F30" s="106">
        <f>H30-مراجع!$B$2</f>
        <v>-0.33333333333333331</v>
      </c>
      <c r="G30" s="106">
        <f>مراجع!$B$2-H30</f>
        <v>0.33333333333333331</v>
      </c>
      <c r="H30" s="105">
        <f t="shared" si="0"/>
        <v>0</v>
      </c>
      <c r="I30" s="107">
        <f>'كـشـف حضور يومي'!EW14</f>
        <v>0</v>
      </c>
    </row>
    <row r="31" spans="1:15" ht="21.95" customHeight="1" x14ac:dyDescent="0.2">
      <c r="A31" s="145">
        <f>'كـشـف حضور يومي'!EX1</f>
        <v>1</v>
      </c>
      <c r="B31" s="146" t="str">
        <f>'كـشـف حضور يومي'!EX2</f>
        <v>السبت</v>
      </c>
      <c r="C31" s="217"/>
      <c r="D31" s="105">
        <f>'كـشـف حضور يومي'!EX14</f>
        <v>0</v>
      </c>
      <c r="E31" s="105">
        <f>'كـشـف حضور يومي'!EY14</f>
        <v>0</v>
      </c>
      <c r="F31" s="106">
        <f>H31-مراجع!$B$2</f>
        <v>-0.33333333333333331</v>
      </c>
      <c r="G31" s="106">
        <f>مراجع!$B$2-H31</f>
        <v>0.33333333333333331</v>
      </c>
      <c r="H31" s="105">
        <f t="shared" si="0"/>
        <v>0</v>
      </c>
      <c r="I31" s="107">
        <f>'كـشـف حضور يومي'!FC14</f>
        <v>0</v>
      </c>
    </row>
    <row r="32" spans="1:15" ht="21.95" customHeight="1" x14ac:dyDescent="0.2">
      <c r="A32" s="145">
        <f>'كـشـف حضور يومي'!FD1</f>
        <v>1</v>
      </c>
      <c r="B32" s="146" t="str">
        <f>'كـشـف حضور يومي'!FD2</f>
        <v>السبت</v>
      </c>
      <c r="C32" s="217"/>
      <c r="D32" s="105">
        <f>'كـشـف حضور يومي'!FD14</f>
        <v>0</v>
      </c>
      <c r="E32" s="105">
        <f>'كـشـف حضور يومي'!FE14</f>
        <v>0</v>
      </c>
      <c r="F32" s="106">
        <f>H32-مراجع!$B$2</f>
        <v>-0.33333333333333331</v>
      </c>
      <c r="G32" s="106">
        <f>مراجع!$B$2-H32</f>
        <v>0.33333333333333331</v>
      </c>
      <c r="H32" s="105">
        <f t="shared" si="0"/>
        <v>0</v>
      </c>
      <c r="I32" s="107">
        <f>'كـشـف حضور يومي'!FI14</f>
        <v>0</v>
      </c>
    </row>
    <row r="33" spans="1:9" ht="21.95" customHeight="1" x14ac:dyDescent="0.2">
      <c r="A33" s="145">
        <f>'كـشـف حضور يومي'!FJ1</f>
        <v>1</v>
      </c>
      <c r="B33" s="146" t="str">
        <f>'كـشـف حضور يومي'!FJ2</f>
        <v>السبت</v>
      </c>
      <c r="C33" s="217"/>
      <c r="D33" s="105">
        <f>'كـشـف حضور يومي'!FJ14</f>
        <v>0</v>
      </c>
      <c r="E33" s="105">
        <f>'كـشـف حضور يومي'!FK14</f>
        <v>0</v>
      </c>
      <c r="F33" s="106">
        <f>H33-مراجع!$B$2</f>
        <v>-0.33333333333333331</v>
      </c>
      <c r="G33" s="106">
        <f>مراجع!$B$2-H33</f>
        <v>0.33333333333333331</v>
      </c>
      <c r="H33" s="105">
        <f t="shared" si="0"/>
        <v>0</v>
      </c>
      <c r="I33" s="107">
        <f>'كـشـف حضور يومي'!FO14</f>
        <v>0</v>
      </c>
    </row>
    <row r="34" spans="1:9" ht="21.95" customHeight="1" x14ac:dyDescent="0.2">
      <c r="A34" s="145">
        <f>'كـشـف حضور يومي'!FP1</f>
        <v>1</v>
      </c>
      <c r="B34" s="146" t="str">
        <f>'كـشـف حضور يومي'!FP2</f>
        <v>السبت</v>
      </c>
      <c r="C34" s="217"/>
      <c r="D34" s="105">
        <f>'كـشـف حضور يومي'!FP14</f>
        <v>0</v>
      </c>
      <c r="E34" s="105">
        <f>'كـشـف حضور يومي'!FQ14</f>
        <v>0</v>
      </c>
      <c r="F34" s="106">
        <f>H34-مراجع!$B$2</f>
        <v>-0.33333333333333331</v>
      </c>
      <c r="G34" s="106">
        <f>مراجع!$B$2-H34</f>
        <v>0.33333333333333331</v>
      </c>
      <c r="H34" s="105">
        <f t="shared" si="0"/>
        <v>0</v>
      </c>
      <c r="I34" s="107">
        <f>'كـشـف حضور يومي'!FU14</f>
        <v>0</v>
      </c>
    </row>
    <row r="35" spans="1:9" ht="21.95" customHeight="1" x14ac:dyDescent="0.2">
      <c r="A35" s="145">
        <f>'كـشـف حضور يومي'!FV1</f>
        <v>1</v>
      </c>
      <c r="B35" s="146" t="str">
        <f>'كـشـف حضور يومي'!FV2</f>
        <v>السبت</v>
      </c>
      <c r="C35" s="217"/>
      <c r="D35" s="105">
        <f>'كـشـف حضور يومي'!FV14</f>
        <v>0</v>
      </c>
      <c r="E35" s="105">
        <f>'كـشـف حضور يومي'!FW14</f>
        <v>0</v>
      </c>
      <c r="F35" s="106">
        <f>H35-مراجع!$B$2</f>
        <v>-0.33333333333333331</v>
      </c>
      <c r="G35" s="106">
        <f>مراجع!$B$2-H35</f>
        <v>0.33333333333333331</v>
      </c>
      <c r="H35" s="105">
        <f t="shared" si="0"/>
        <v>0</v>
      </c>
      <c r="I35" s="107">
        <f>'كـشـف حضور يومي'!GA14</f>
        <v>0</v>
      </c>
    </row>
    <row r="36" spans="1:9" ht="21.95" customHeight="1" x14ac:dyDescent="0.2">
      <c r="A36" s="145">
        <f>'كـشـف حضور يومي'!GB1</f>
        <v>1</v>
      </c>
      <c r="B36" s="146" t="str">
        <f>'كـشـف حضور يومي'!GB2</f>
        <v>السبت</v>
      </c>
      <c r="C36" s="217"/>
      <c r="D36" s="105">
        <f>'كـشـف حضور يومي'!GB14</f>
        <v>0</v>
      </c>
      <c r="E36" s="105">
        <f>'كـشـف حضور يومي'!GC14</f>
        <v>0</v>
      </c>
      <c r="F36" s="106">
        <f>H36-مراجع!$B$2</f>
        <v>-0.33333333333333331</v>
      </c>
      <c r="G36" s="106">
        <f>مراجع!$B$2-H36</f>
        <v>0.33333333333333331</v>
      </c>
      <c r="H36" s="105">
        <f t="shared" si="0"/>
        <v>0</v>
      </c>
      <c r="I36" s="107">
        <f>'كـشـف حضور يومي'!GG14</f>
        <v>0</v>
      </c>
    </row>
    <row r="37" spans="1:9" ht="21.95" customHeight="1" x14ac:dyDescent="0.2">
      <c r="A37" s="216" t="s">
        <v>64</v>
      </c>
      <c r="B37" s="216"/>
      <c r="C37" s="216"/>
      <c r="D37" s="216"/>
      <c r="E37" s="216"/>
      <c r="F37" s="220">
        <f>SUM(H6:H36)</f>
        <v>0</v>
      </c>
      <c r="G37" s="220"/>
      <c r="H37" s="220"/>
      <c r="I37" s="220"/>
    </row>
    <row r="38" spans="1:9" ht="21.95" customHeight="1" x14ac:dyDescent="0.2">
      <c r="A38" s="215" t="s">
        <v>59</v>
      </c>
      <c r="B38" s="215"/>
      <c r="C38" s="215"/>
      <c r="D38" s="215"/>
      <c r="E38" s="215"/>
      <c r="F38" s="221">
        <f>F37*I2*24</f>
        <v>0</v>
      </c>
      <c r="G38" s="221"/>
      <c r="H38" s="221"/>
      <c r="I38" s="221"/>
    </row>
  </sheetData>
  <sheetProtection algorithmName="SHA-512" hashValue="QzzKYmfD9kS94A2PwDBabxB0LsSR623O5kwSE1ji3fbmoozBr0r2z6hKXfxJwQDXoik4sr/uOZ99vEFLhub6PA==" saltValue="GFCeq56sZNZDMfuAa8jbqg==" spinCount="100000" sheet="1" objects="1" scenarios="1"/>
  <mergeCells count="14">
    <mergeCell ref="A37:E37"/>
    <mergeCell ref="F37:I37"/>
    <mergeCell ref="A38:E38"/>
    <mergeCell ref="F38:I38"/>
    <mergeCell ref="A3:I3"/>
    <mergeCell ref="A4:B4"/>
    <mergeCell ref="H4:I4"/>
    <mergeCell ref="C4:E4"/>
    <mergeCell ref="C5:C36"/>
    <mergeCell ref="A1:B1"/>
    <mergeCell ref="D1:F2"/>
    <mergeCell ref="G1:H1"/>
    <mergeCell ref="A2:B2"/>
    <mergeCell ref="G2:H2"/>
  </mergeCells>
  <printOptions horizontalCentered="1" verticalCentered="1"/>
  <pageMargins left="0.7" right="0.7" top="0.75" bottom="0.75" header="0.3" footer="0.3"/>
  <pageSetup scale="31"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4F25303-99B8-4C48-AB1D-1B35CCC84CA8}">
          <x14:formula1>
            <xm:f>مراجع!$B$4:$B$15</xm:f>
          </x14:formula1>
          <xm:sqref>C4:E4</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45B79-C55A-42D6-824D-D31B579A8F29}">
  <dimension ref="A1:M21"/>
  <sheetViews>
    <sheetView rightToLeft="1" workbookViewId="0">
      <selection activeCell="P9" sqref="P9"/>
    </sheetView>
  </sheetViews>
  <sheetFormatPr defaultRowHeight="14.25" x14ac:dyDescent="0.2"/>
  <sheetData>
    <row r="1" spans="1:13" ht="23.25" x14ac:dyDescent="0.2">
      <c r="A1" s="228" t="s">
        <v>77</v>
      </c>
      <c r="B1" s="228"/>
      <c r="C1" s="228"/>
      <c r="D1" s="228"/>
      <c r="E1" s="228"/>
      <c r="F1" s="228"/>
      <c r="G1" s="228"/>
      <c r="H1" s="228"/>
      <c r="I1" s="228"/>
      <c r="J1" s="228"/>
      <c r="K1" s="228"/>
      <c r="L1" s="228"/>
      <c r="M1" s="228"/>
    </row>
    <row r="2" spans="1:13" ht="21" thickBot="1" x14ac:dyDescent="0.25">
      <c r="A2" s="238" t="s">
        <v>80</v>
      </c>
      <c r="B2" s="238"/>
      <c r="C2" s="238"/>
      <c r="D2" s="238"/>
      <c r="E2" s="238"/>
      <c r="F2" s="238"/>
      <c r="G2" s="238"/>
      <c r="H2" s="238"/>
      <c r="I2" s="238"/>
      <c r="J2" s="238"/>
      <c r="K2" s="238"/>
      <c r="L2" s="238"/>
      <c r="M2" s="238"/>
    </row>
    <row r="3" spans="1:13" ht="19.5" thickTop="1" thickBot="1" x14ac:dyDescent="0.25">
      <c r="A3" s="233" t="s">
        <v>20</v>
      </c>
      <c r="B3" s="234"/>
      <c r="C3" s="235" t="s">
        <v>75</v>
      </c>
      <c r="D3" s="74" t="s">
        <v>8</v>
      </c>
      <c r="E3" s="75" t="s">
        <v>9</v>
      </c>
      <c r="F3" s="76" t="s">
        <v>10</v>
      </c>
      <c r="G3" s="76" t="s">
        <v>11</v>
      </c>
      <c r="H3" s="76" t="s">
        <v>12</v>
      </c>
      <c r="I3" s="76" t="s">
        <v>13</v>
      </c>
      <c r="J3" s="76" t="s">
        <v>14</v>
      </c>
      <c r="K3" s="229" t="s">
        <v>81</v>
      </c>
      <c r="L3" s="230"/>
      <c r="M3" s="230"/>
    </row>
    <row r="4" spans="1:13" ht="16.5" thickTop="1" thickBot="1" x14ac:dyDescent="0.25">
      <c r="A4" s="224" t="s">
        <v>26</v>
      </c>
      <c r="B4" s="225"/>
      <c r="C4" s="236"/>
      <c r="D4" s="70">
        <f>COUNTIFS(كريم!$B$6:$B$36,"السبت",كريم!$I$6:$I$36,"*حضور*")</f>
        <v>0</v>
      </c>
      <c r="E4" s="71">
        <f>COUNTIFS(كريم!$B$6:$B$36,"الأحد",كريم!$I$6:$I$36,"*حضور*")</f>
        <v>0</v>
      </c>
      <c r="F4" s="71">
        <f>COUNTIFS(كريم!$B$6:$B$36,"الإثنين",كريم!$I$6:$I$36,"*حضور*")</f>
        <v>0</v>
      </c>
      <c r="G4" s="71">
        <f>COUNTIFS(كريم!$B$6:$B$36,"الثلاثاء",كريم!$I$6:$I$36,"*حضور*")</f>
        <v>0</v>
      </c>
      <c r="H4" s="71">
        <f>COUNTIFS(كريم!$B$6:$B$36,"الأربعاء",كريم!$I$6:$I$36,"*حضور*")</f>
        <v>0</v>
      </c>
      <c r="I4" s="71">
        <f>COUNTIFS(كريم!$B$6:$B$36,"الخميس",كريم!$I$6:$I$36,"*حضور*")</f>
        <v>0</v>
      </c>
      <c r="J4" s="71">
        <f>COUNTIFS(كريم!$B$6:$B$36,"الجمعة",كريم!$I$6:$I$36,"*حضور*")</f>
        <v>0</v>
      </c>
      <c r="K4" s="231">
        <f>كريم!F38</f>
        <v>2999.9999999999991</v>
      </c>
      <c r="L4" s="232"/>
      <c r="M4" s="232"/>
    </row>
    <row r="5" spans="1:13" ht="16.5" thickTop="1" thickBot="1" x14ac:dyDescent="0.25">
      <c r="A5" s="224" t="s">
        <v>28</v>
      </c>
      <c r="B5" s="225"/>
      <c r="C5" s="236"/>
      <c r="D5" s="72">
        <f>COUNTIFS('عبد العزيز'!$B$6:$B$36,"السبت",'عبد العزيز'!$I$6:$I$36,"*حضور*")</f>
        <v>0</v>
      </c>
      <c r="E5" s="73">
        <f>COUNTIFS('عبد العزيز'!$B$6:$B$36,"الأحد",'عبد العزيز'!$I$6:$I$36,"*حضور*")</f>
        <v>0</v>
      </c>
      <c r="F5" s="73">
        <f>COUNTIFS('عبد العزيز'!$B$6:$B$36,"الإثنين",'عبد العزيز'!$I$6:$I$36,"*حضور*")</f>
        <v>0</v>
      </c>
      <c r="G5" s="73">
        <f>COUNTIFS('عبد العزيز'!$B$6:$B$36,"الثلاثاء",'عبد العزيز'!$I$6:$I$36,"*حضور*")</f>
        <v>0</v>
      </c>
      <c r="H5" s="73">
        <f>COUNTIFS('عبد العزيز'!$B$6:$B$36,"الأربعاء",'عبد العزيز'!$I$6:$I$36,"*حضور*")</f>
        <v>0</v>
      </c>
      <c r="I5" s="73">
        <f>COUNTIFS('عبد العزيز'!$B$6:$B$36,"الخميس.",'عبد العزيز'!$I$6:$I$36,"*حضور*")</f>
        <v>0</v>
      </c>
      <c r="J5" s="73">
        <f>COUNTIFS('عبد العزيز'!$B$6:$B$36,"الجمعة",'عبد العزيز'!$I$6:$I$36,"*حضور*")</f>
        <v>0</v>
      </c>
      <c r="K5" s="226">
        <f>'عبد العزيز'!F38</f>
        <v>120.00000000000003</v>
      </c>
      <c r="L5" s="227"/>
      <c r="M5" s="227"/>
    </row>
    <row r="6" spans="1:13" ht="16.5" thickTop="1" thickBot="1" x14ac:dyDescent="0.25">
      <c r="A6" s="224" t="s">
        <v>30</v>
      </c>
      <c r="B6" s="225"/>
      <c r="C6" s="236"/>
      <c r="D6" s="72">
        <f>COUNTIFS('محمد حسين'!$B$6:$B$36,"السبت",'محمد حسين'!$I$6:$I$36,"*حضور*")</f>
        <v>0</v>
      </c>
      <c r="E6" s="73">
        <f>COUNTIFS('محمد حسين'!$B$6:$B$36,"الأحد",'محمد حسين'!$I$6:$I$36,"*حضور*")</f>
        <v>0</v>
      </c>
      <c r="F6" s="73">
        <f>COUNTIFS('محمد حسين'!$B$6:$B$36,"الإثنين",'محمد حسين'!$I$6:$I$36,"*حضور*")</f>
        <v>0</v>
      </c>
      <c r="G6" s="73">
        <f>COUNTIFS('محمد حسين'!$B$6:$B$36,"الثلاثاء",'محمد حسين'!$I$6:$I$36,"*حضور*")</f>
        <v>0</v>
      </c>
      <c r="H6" s="73">
        <f>COUNTIFS('محمد حسين'!$B$6:$B$36,"الأربعاء",'محمد حسين'!$I$6:$I$36,"*حضور*")</f>
        <v>0</v>
      </c>
      <c r="I6" s="73">
        <f>COUNTIFS('محمد حسين'!$B$6:$B$36,"الخميس",'محمد حسين'!$I$6:$I$36,"*حضور*")</f>
        <v>0</v>
      </c>
      <c r="J6" s="73">
        <f>COUNTIFS('محمد حسين'!$B$6:$B$36,"الجمعة",'محمد حسين'!$I$6:$I$36,"*حضور*")</f>
        <v>0</v>
      </c>
      <c r="K6" s="226">
        <f>'محمد حسين'!F38</f>
        <v>0</v>
      </c>
      <c r="L6" s="227"/>
      <c r="M6" s="227"/>
    </row>
    <row r="7" spans="1:13" ht="16.5" thickTop="1" thickBot="1" x14ac:dyDescent="0.25">
      <c r="A7" s="224" t="s">
        <v>32</v>
      </c>
      <c r="B7" s="225"/>
      <c r="C7" s="236"/>
      <c r="D7" s="72">
        <f>COUNTIFS('هالة محمود'!$B$6:$B$36,"السبت",'هالة محمود'!$I$6:$I$36,"*حضور*")</f>
        <v>0</v>
      </c>
      <c r="E7" s="73">
        <f>COUNTIFS('هالة محمود'!$B$6:$B$36,"الأحد",'هالة محمود'!$I$6:$I$36,"*حضور*")</f>
        <v>0</v>
      </c>
      <c r="F7" s="73">
        <f>COUNTIFS('هالة محمود'!$B$6:$B$36,"الإثنين",'هالة محمود'!$I$6:$I$36,"*حضور*")</f>
        <v>0</v>
      </c>
      <c r="G7" s="73">
        <f>COUNTIFS('هالة محمود'!$B$6:$B$36,"الثلاثاء",'هالة محمود'!$I$6:$I$36,"*حضور*")</f>
        <v>0</v>
      </c>
      <c r="H7" s="73">
        <f>COUNTIFS('هالة محمود'!$B$6:$B$36,"الأربعاء",'هالة محمود'!$I$6:$I$36,"*حضور*")</f>
        <v>0</v>
      </c>
      <c r="I7" s="73">
        <f>COUNTIFS('هالة محمود'!$B$6:$B$36,"الخميس",'هالة محمود'!$I$6:$I$36,"*حضور*")</f>
        <v>0</v>
      </c>
      <c r="J7" s="73">
        <f>COUNTIFS('هالة محمود'!$B$6:$B$36,"الجمعة",'هالة محمود'!$I$6:$I$36,"*حضور*")</f>
        <v>0</v>
      </c>
      <c r="K7" s="226">
        <f>'هالة محمود'!F38</f>
        <v>0</v>
      </c>
      <c r="L7" s="227"/>
      <c r="M7" s="227"/>
    </row>
    <row r="8" spans="1:13" ht="16.5" thickTop="1" thickBot="1" x14ac:dyDescent="0.25">
      <c r="A8" s="224" t="s">
        <v>33</v>
      </c>
      <c r="B8" s="225"/>
      <c r="C8" s="236"/>
      <c r="D8" s="72">
        <f>COUNTIFS('إسلام محمد'!$B$6:$B$36,"السبت",'إسلام محمد'!$I$6:$I$36,"*حضور*")</f>
        <v>0</v>
      </c>
      <c r="E8" s="73">
        <f>COUNTIFS('إسلام محمد'!$B$6:$B$36,"الأحد",'إسلام محمد'!$I$6:$I$36,"*حضور*")</f>
        <v>0</v>
      </c>
      <c r="F8" s="73">
        <f>COUNTIFS('إسلام محمد'!B6:B36,"الإثنين",'إسلام محمد'!I6:I36,"*حضور*")</f>
        <v>0</v>
      </c>
      <c r="G8" s="73">
        <f>COUNTIFS('إسلام محمد'!B6:B36,"الثلاثاء",'إسلام محمد'!I6:I36,"*حضور*")</f>
        <v>0</v>
      </c>
      <c r="H8" s="73">
        <f>COUNTIFS('إسلام محمد'!B6:B36,"الأربعاء",'إسلام محمد'!I6:I36,"*حضور*")</f>
        <v>0</v>
      </c>
      <c r="I8" s="73">
        <f>COUNTIFS('إسلام محمد'!B6:B36,"الخميس",'إسلام محمد'!I6:I36,"*حضور*")</f>
        <v>0</v>
      </c>
      <c r="J8" s="73">
        <f>COUNTIFS('إسلام محمد'!B6:B36,"الجمعة",'إسلام محمد'!I6:I36,"*حضور*")</f>
        <v>0</v>
      </c>
      <c r="K8" s="226">
        <f>'إسلام محمد'!F38</f>
        <v>0</v>
      </c>
      <c r="L8" s="227"/>
      <c r="M8" s="227"/>
    </row>
    <row r="9" spans="1:13" ht="16.5" thickTop="1" thickBot="1" x14ac:dyDescent="0.25">
      <c r="A9" s="224" t="s">
        <v>35</v>
      </c>
      <c r="B9" s="225"/>
      <c r="C9" s="236"/>
      <c r="D9" s="72">
        <f>COUNTIFS('أحمد عبد المنعم'!B6:B36,"السبت",'أحمد عبد المنعم'!I6:I36,"*حضور*")</f>
        <v>0</v>
      </c>
      <c r="E9" s="73">
        <f>COUNTIFS('أحمد عبد المنعم'!$B$6:$B$36,"الأحد",'أحمد عبد المنعم'!$I$6:$I$36,"*حضور*")</f>
        <v>0</v>
      </c>
      <c r="F9" s="73">
        <f>COUNTIFS('أحمد عبد المنعم'!$B$6:$B$36,"الإثنين",'أحمد عبد المنعم'!$I$6:$I$36,"*حضور*")</f>
        <v>0</v>
      </c>
      <c r="G9" s="73">
        <f>COUNTIFS('أحمد عبد المنعم'!$B$6:$B$36,"الثلاثاء",'أحمد عبد المنعم'!$I$6:$I$36,"*حضور*")</f>
        <v>0</v>
      </c>
      <c r="H9" s="73">
        <f>COUNTIFS('أحمد عبد المنعم'!$B$6:$B$36,"الأربعاء",'أحمد عبد المنعم'!$I$6:$I$36,"*حضور*")</f>
        <v>0</v>
      </c>
      <c r="I9" s="73">
        <f>COUNTIFS('أحمد عبد المنعم'!$B$6:$B$36,"الخميس",'أحمد عبد المنعم'!$I$6:$I$36,"*حضور*")</f>
        <v>0</v>
      </c>
      <c r="J9" s="73">
        <f>COUNTIFS('أحمد عبد المنعم'!$B$6:$B$36,"الجمعة",'أحمد عبد المنعم'!$I$6:$I$36,"*حضور*")</f>
        <v>0</v>
      </c>
      <c r="K9" s="226">
        <f>'أحمد عبد المنعم'!F38</f>
        <v>0</v>
      </c>
      <c r="L9" s="227"/>
      <c r="M9" s="227"/>
    </row>
    <row r="10" spans="1:13" ht="16.5" thickTop="1" thickBot="1" x14ac:dyDescent="0.25">
      <c r="A10" s="224" t="s">
        <v>36</v>
      </c>
      <c r="B10" s="225"/>
      <c r="C10" s="236"/>
      <c r="D10" s="72">
        <f>COUNTIFS('هاجر أحمد'!$B$6:$B$36,"السبت",'هاجر أحمد'!$I$6:$I$36,"*حضور*")</f>
        <v>0</v>
      </c>
      <c r="E10" s="73">
        <f>COUNTIFS('هاجر أحمد'!$B$6:$B$36,"الأحد",'هاجر أحمد'!$I$6:$I$36,"*حضور*")</f>
        <v>0</v>
      </c>
      <c r="F10" s="73">
        <f>COUNTIFS('هاجر أحمد'!$B$6:$B$36,"الإثنين",'هاجر أحمد'!$I$6:$I$36,"*حضور*")</f>
        <v>0</v>
      </c>
      <c r="G10" s="73">
        <f>COUNTIFS('هاجر أحمد'!$B$6:$B$36,"الثلاثاء",'هاجر أحمد'!$I$6:$I$36,"*حضور*")</f>
        <v>0</v>
      </c>
      <c r="H10" s="73">
        <f>COUNTIFS('هاجر أحمد'!$B$6:$B$36,"الأربعاء",'هاجر أحمد'!$I$6:$I$36,"*حضور*")</f>
        <v>0</v>
      </c>
      <c r="I10" s="73">
        <f>COUNTIFS('هاجر أحمد'!$B$6:$B$36,"الخميس",'هاجر أحمد'!$I$6:$I$36,"*حضور*")</f>
        <v>0</v>
      </c>
      <c r="J10" s="73">
        <f>COUNTIFS('هاجر أحمد'!$B$6:$B$36,"الجمعة",'هاجر أحمد'!$I$6:$I$36,"*حضور*")</f>
        <v>0</v>
      </c>
      <c r="K10" s="226">
        <f>'هاجر أحمد'!F38</f>
        <v>0</v>
      </c>
      <c r="L10" s="227"/>
      <c r="M10" s="227"/>
    </row>
    <row r="11" spans="1:13" ht="16.5" thickTop="1" thickBot="1" x14ac:dyDescent="0.25">
      <c r="A11" s="224" t="s">
        <v>37</v>
      </c>
      <c r="B11" s="225"/>
      <c r="C11" s="236"/>
      <c r="D11" s="72">
        <f>COUNTIFS('مديحة حمدي'!$B$6:$B$36,"السبت",'مديحة حمدي'!$I$6:$I$36,"*حضور*")</f>
        <v>0</v>
      </c>
      <c r="E11" s="73">
        <f>COUNTIFS('مديحة حمدي'!$B$6:$B$36,"الأحد",'مديحة حمدي'!$I$6:$I$36,"*حضور*")</f>
        <v>0</v>
      </c>
      <c r="F11" s="73">
        <f>COUNTIFS('مديحة حمدي'!$B$6:$B$36,"الإثنين",'مديحة حمدي'!$I$6:$I$36,"*حضور*")</f>
        <v>0</v>
      </c>
      <c r="G11" s="73">
        <f>COUNTIFS('مديحة حمدي'!$B$6:$B$36,"الثلاثاء",'مديحة حمدي'!$I$6:$I$36,"*حضور*")</f>
        <v>0</v>
      </c>
      <c r="H11" s="73">
        <f>COUNTIFS('مديحة حمدي'!$B$6:$B$36,"الأربعاء",'مديحة حمدي'!$I$6:$I$36,"*حضور*")</f>
        <v>0</v>
      </c>
      <c r="I11" s="73">
        <f>COUNTIFS('مديحة حمدي'!$B$6:$B$36,"الخميس",'مديحة حمدي'!$I$6:$I$36,"*حضور*")</f>
        <v>0</v>
      </c>
      <c r="J11" s="73">
        <f>COUNTIFS('مديحة حمدي'!$B$6:$B$36,"الجمعة",'مديحة حمدي'!$I$6:$I$36,"*حضور*")</f>
        <v>0</v>
      </c>
      <c r="K11" s="226">
        <f>'مديحة حمدي'!F38</f>
        <v>0</v>
      </c>
      <c r="L11" s="227"/>
      <c r="M11" s="227"/>
    </row>
    <row r="12" spans="1:13" ht="16.5" thickTop="1" thickBot="1" x14ac:dyDescent="0.25">
      <c r="A12" s="224" t="s">
        <v>38</v>
      </c>
      <c r="B12" s="225"/>
      <c r="C12" s="236"/>
      <c r="D12" s="72">
        <f>COUNTIFS('دينا سيد'!$B$6:$B$36,"السبت",'دينا سيد'!$I$6:$I$36,"*حضور*")</f>
        <v>0</v>
      </c>
      <c r="E12" s="73">
        <f>COUNTIFS('دينا سيد'!$B$6:$B$36,"الأحد",'دينا سيد'!$I$6:$I$36,"*حضور*")</f>
        <v>0</v>
      </c>
      <c r="F12" s="73">
        <f>COUNTIFS('دينا سيد'!$B$6:$B$36,"الإثنين",'دينا سيد'!$I$6:$I$36,"*حضور*")</f>
        <v>0</v>
      </c>
      <c r="G12" s="73">
        <f>COUNTIFS('دينا سيد'!$B$6:$B$36,"الثلاثاء",'دينا سيد'!$I$6:$I$36,"*حضور*")</f>
        <v>0</v>
      </c>
      <c r="H12" s="73">
        <f>COUNTIFS('دينا سيد'!$B$6:$B$36,"الأربعاء",'دينا سيد'!$I$6:$I$36,"*حضور*")</f>
        <v>0</v>
      </c>
      <c r="I12" s="73">
        <f>COUNTIFS('دينا سيد'!$B$6:$B$36,"الخميس",'دينا سيد'!$I$6:$I$36,"*حضور*")</f>
        <v>0</v>
      </c>
      <c r="J12" s="73">
        <f>COUNTIFS('دينا سيد'!$B$6:$B$36,"الجمعة",'دينا سيد'!$I$6:$I$36,"*حضور*")</f>
        <v>0</v>
      </c>
      <c r="K12" s="226">
        <f>'دينا سيد'!F38</f>
        <v>0</v>
      </c>
      <c r="L12" s="227"/>
      <c r="M12" s="227"/>
    </row>
    <row r="13" spans="1:13" ht="16.5" thickTop="1" thickBot="1" x14ac:dyDescent="0.25">
      <c r="A13" s="224" t="s">
        <v>41</v>
      </c>
      <c r="B13" s="225"/>
      <c r="C13" s="236"/>
      <c r="D13" s="72">
        <f>COUNTIFS('أحمد نبوي'!$B$6:$B$36,"السبت",'أحمد نبوي'!$I$6:$I$36,"*حضور*")</f>
        <v>0</v>
      </c>
      <c r="E13" s="73">
        <f>COUNTIFS('أحمد نبوي'!$B$6:$B$36,"الأحد",'أحمد نبوي'!$I$6:$I$36,"*حضور*")</f>
        <v>0</v>
      </c>
      <c r="F13" s="73">
        <f>COUNTIFS('أحمد نبوي'!$B$6:$B$36,"الإثنين",'أحمد نبوي'!$I$6:$I$36,"*حضور*")</f>
        <v>0</v>
      </c>
      <c r="G13" s="73">
        <f>COUNTIFS('أحمد نبوي'!$B$6:$B$36,"الثلاثاء",'أحمد نبوي'!$I$6:$I$36,"*حضور*")</f>
        <v>0</v>
      </c>
      <c r="H13" s="73">
        <f>COUNTIFS('أحمد نبوي'!$B$6:$B$36,"الأربعاء",'أحمد نبوي'!$I$6:$I$36,"*حضور*")</f>
        <v>0</v>
      </c>
      <c r="I13" s="73">
        <f>COUNTIFS('أحمد نبوي'!$B$6:$B$36,"الخميس",'أحمد نبوي'!$I$6:$I$36,"*حضور*")</f>
        <v>0</v>
      </c>
      <c r="J13" s="73">
        <f>COUNTIFS('أحمد نبوي'!$B$6:$B$36,"الجمعة",'أحمد نبوي'!$I$6:$I$36,"*حضور*")</f>
        <v>0</v>
      </c>
      <c r="K13" s="226">
        <f>'أحمد نبوي'!F38</f>
        <v>0</v>
      </c>
      <c r="L13" s="227"/>
      <c r="M13" s="227"/>
    </row>
    <row r="14" spans="1:13" ht="16.5" thickTop="1" thickBot="1" x14ac:dyDescent="0.25">
      <c r="A14" s="224" t="s">
        <v>40</v>
      </c>
      <c r="B14" s="225"/>
      <c r="C14" s="237"/>
      <c r="D14" s="72">
        <f>COUNTIFS('محمد إبراهيم'!$B$6:$B$36,"السبت",'محمد إبراهيم'!$I$6:$I$36,"*حضور*")</f>
        <v>0</v>
      </c>
      <c r="E14" s="73">
        <f>COUNTIFS('محمد إبراهيم'!$B$6:$B$36,"الأحد",'محمد إبراهيم'!$I$6:$I$36,"*حضور*")</f>
        <v>0</v>
      </c>
      <c r="F14" s="73">
        <f>COUNTIFS('محمد إبراهيم'!$B$6:$B$36,"الإثنين",'محمد إبراهيم'!$I$6:$I$36,"*حضور*")</f>
        <v>0</v>
      </c>
      <c r="G14" s="73">
        <f>COUNTIFS('محمد إبراهيم'!$B$6:$B$36,"الثلاثاء",'محمد إبراهيم'!$I$6:$I$36,"*حضور*")</f>
        <v>0</v>
      </c>
      <c r="H14" s="73">
        <f>COUNTIFS('محمد إبراهيم'!$B$6:$B$36,"الأربعاء",'محمد إبراهيم'!$I$6:$I$36,"*حضور*")</f>
        <v>0</v>
      </c>
      <c r="I14" s="73">
        <f>COUNTIFS('محمد إبراهيم'!$B$6:$B$36,"الخميس",'محمد إبراهيم'!$I$6:$I$36,"*حضور*")</f>
        <v>0</v>
      </c>
      <c r="J14" s="73">
        <f>COUNTIFS('محمد إبراهيم'!$B$6:$B$36,"الجمعة",'محمد إبراهيم'!$I$6:$I$36,"*حضور*")</f>
        <v>0</v>
      </c>
      <c r="K14" s="226">
        <f>'محمد إبراهيم'!F38</f>
        <v>0</v>
      </c>
      <c r="L14" s="227"/>
      <c r="M14" s="227"/>
    </row>
    <row r="15" spans="1:13" ht="15" thickTop="1" x14ac:dyDescent="0.2"/>
    <row r="18" spans="1:13" ht="15" thickBot="1" x14ac:dyDescent="0.25"/>
    <row r="19" spans="1:13" ht="30" customHeight="1" thickTop="1" thickBot="1" x14ac:dyDescent="0.25">
      <c r="A19" s="233" t="s">
        <v>20</v>
      </c>
      <c r="B19" s="240"/>
      <c r="C19" s="239" t="s">
        <v>75</v>
      </c>
      <c r="D19" s="121" t="s">
        <v>8</v>
      </c>
      <c r="E19" s="121" t="s">
        <v>9</v>
      </c>
      <c r="F19" s="122" t="s">
        <v>10</v>
      </c>
      <c r="G19" s="122" t="s">
        <v>11</v>
      </c>
      <c r="H19" s="122" t="s">
        <v>12</v>
      </c>
      <c r="I19" s="122" t="s">
        <v>13</v>
      </c>
      <c r="J19" s="122" t="s">
        <v>14</v>
      </c>
      <c r="K19" s="241" t="s">
        <v>81</v>
      </c>
      <c r="L19" s="241"/>
      <c r="M19" s="241"/>
    </row>
    <row r="20" spans="1:13" ht="30" customHeight="1" thickTop="1" thickBot="1" x14ac:dyDescent="0.25">
      <c r="A20" s="242" t="s">
        <v>26</v>
      </c>
      <c r="B20" s="242"/>
      <c r="C20" s="239"/>
      <c r="D20" s="120">
        <f>VLOOKUP($A$20,$A$3:$M$14,4,0)</f>
        <v>0</v>
      </c>
      <c r="E20" s="120">
        <f>VLOOKUP($A$20,$A$3:$M$14,5,0)</f>
        <v>0</v>
      </c>
      <c r="F20" s="120">
        <f>VLOOKUP($A$20,$A$3:$M$14,6,0)</f>
        <v>0</v>
      </c>
      <c r="G20" s="120">
        <f>VLOOKUP($A$20,$A$3:$M$14,7,0)</f>
        <v>0</v>
      </c>
      <c r="H20" s="120">
        <f>VLOOKUP($A$20,$A$3:$M$14,8,0)</f>
        <v>0</v>
      </c>
      <c r="I20" s="120">
        <f>VLOOKUP($A$20,$A$3:$M$14,9,0)</f>
        <v>0</v>
      </c>
      <c r="J20" s="120">
        <f>VLOOKUP($A$20,$A$3:$M$14,10,0)</f>
        <v>0</v>
      </c>
      <c r="K20" s="243">
        <f>VLOOKUP(A20,A3:M14,11,0)</f>
        <v>2999.9999999999991</v>
      </c>
      <c r="L20" s="243"/>
      <c r="M20" s="243"/>
    </row>
    <row r="21" spans="1:13" ht="15" thickTop="1" x14ac:dyDescent="0.2"/>
  </sheetData>
  <sheetProtection algorithmName="SHA-512" hashValue="rPCyszHSL2FmO9dmeg2bREK3vy3eO10mAiFf5z+8OWD5G4DF1zRidU9PA+v3As4gfUOy4gZEjSFlfLtkL35U6Q==" saltValue="QuROn5PkNjZbvQBvienV9A==" spinCount="100000" sheet="1" objects="1" scenarios="1"/>
  <mergeCells count="32">
    <mergeCell ref="C19:C20"/>
    <mergeCell ref="K14:M14"/>
    <mergeCell ref="A19:B19"/>
    <mergeCell ref="K19:M19"/>
    <mergeCell ref="A20:B20"/>
    <mergeCell ref="K20:M20"/>
    <mergeCell ref="K8:M8"/>
    <mergeCell ref="K9:M9"/>
    <mergeCell ref="K10:M10"/>
    <mergeCell ref="K11:M11"/>
    <mergeCell ref="K12:M12"/>
    <mergeCell ref="K13:M13"/>
    <mergeCell ref="A5:B5"/>
    <mergeCell ref="A4:B4"/>
    <mergeCell ref="A1:M1"/>
    <mergeCell ref="A14:B14"/>
    <mergeCell ref="A13:B13"/>
    <mergeCell ref="K3:M3"/>
    <mergeCell ref="K4:M4"/>
    <mergeCell ref="K5:M5"/>
    <mergeCell ref="K6:M6"/>
    <mergeCell ref="K7:M7"/>
    <mergeCell ref="A3:B3"/>
    <mergeCell ref="C3:C14"/>
    <mergeCell ref="A2:M2"/>
    <mergeCell ref="A12:B12"/>
    <mergeCell ref="A11:B11"/>
    <mergeCell ref="A10:B10"/>
    <mergeCell ref="A9:B9"/>
    <mergeCell ref="A8:B8"/>
    <mergeCell ref="A7:B7"/>
    <mergeCell ref="A6:B6"/>
  </mergeCells>
  <dataValidations count="1">
    <dataValidation type="list" allowBlank="1" showInputMessage="1" showErrorMessage="1" sqref="A20:B20" xr:uid="{C6615DE8-2908-4D25-A4C5-ADCAC213F47D}">
      <formula1>$A$4:$A$14</formula1>
    </dataValidation>
  </dataValidation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111D4-5902-4348-8D51-21B98F44167E}">
  <dimension ref="A1:K38"/>
  <sheetViews>
    <sheetView rightToLeft="1" workbookViewId="0">
      <selection activeCell="Q30" sqref="Q30"/>
    </sheetView>
  </sheetViews>
  <sheetFormatPr defaultRowHeight="14.25" x14ac:dyDescent="0.2"/>
  <cols>
    <col min="1" max="1" width="10.125" bestFit="1" customWidth="1"/>
    <col min="2" max="4" width="9.25" bestFit="1" customWidth="1"/>
  </cols>
  <sheetData>
    <row r="1" spans="1:11" ht="16.5" thickBot="1" x14ac:dyDescent="0.25">
      <c r="A1" s="244" t="s">
        <v>3</v>
      </c>
      <c r="B1" s="245"/>
      <c r="C1" s="245"/>
      <c r="D1" s="245"/>
      <c r="E1" s="245"/>
      <c r="F1" s="245"/>
      <c r="G1" s="245"/>
      <c r="H1" s="245"/>
      <c r="I1" s="245"/>
      <c r="J1" s="245"/>
      <c r="K1" s="245"/>
    </row>
    <row r="2" spans="1:11" ht="16.5" thickBot="1" x14ac:dyDescent="0.25">
      <c r="A2" s="246">
        <v>8.6666666666666661</v>
      </c>
      <c r="B2" s="148">
        <v>0.33333333333333331</v>
      </c>
      <c r="C2" s="112">
        <v>7</v>
      </c>
      <c r="D2" s="113">
        <v>21</v>
      </c>
      <c r="E2" s="110" t="s">
        <v>8</v>
      </c>
      <c r="F2" s="111" t="s">
        <v>9</v>
      </c>
      <c r="G2" s="111" t="s">
        <v>10</v>
      </c>
      <c r="H2" s="111" t="s">
        <v>11</v>
      </c>
      <c r="I2" s="114" t="s">
        <v>12</v>
      </c>
      <c r="J2" s="114" t="s">
        <v>13</v>
      </c>
      <c r="K2" s="115" t="s">
        <v>14</v>
      </c>
    </row>
    <row r="3" spans="1:11" ht="32.25" thickBot="1" x14ac:dyDescent="0.25">
      <c r="A3" s="247"/>
      <c r="B3" s="111" t="s">
        <v>50</v>
      </c>
      <c r="C3" s="111" t="s">
        <v>6</v>
      </c>
      <c r="D3" s="116" t="s">
        <v>7</v>
      </c>
      <c r="E3" s="116" t="s">
        <v>22</v>
      </c>
      <c r="F3" s="117" t="s">
        <v>70</v>
      </c>
      <c r="G3" s="117" t="s">
        <v>61</v>
      </c>
      <c r="H3" s="117" t="s">
        <v>67</v>
      </c>
      <c r="I3" s="117" t="s">
        <v>68</v>
      </c>
      <c r="J3" s="117" t="s">
        <v>69</v>
      </c>
      <c r="K3" s="119" t="s">
        <v>76</v>
      </c>
    </row>
    <row r="4" spans="1:11" ht="15.75" x14ac:dyDescent="0.2">
      <c r="A4" s="108">
        <v>1</v>
      </c>
      <c r="B4" s="149" t="s">
        <v>42</v>
      </c>
    </row>
    <row r="5" spans="1:11" ht="15.75" x14ac:dyDescent="0.2">
      <c r="A5" s="109">
        <v>2</v>
      </c>
      <c r="B5" s="150" t="s">
        <v>85</v>
      </c>
    </row>
    <row r="6" spans="1:11" ht="15.75" x14ac:dyDescent="0.2">
      <c r="A6" s="109">
        <v>3</v>
      </c>
      <c r="B6" s="150" t="s">
        <v>86</v>
      </c>
    </row>
    <row r="7" spans="1:11" ht="15.75" x14ac:dyDescent="0.2">
      <c r="A7" s="109">
        <v>4</v>
      </c>
      <c r="B7" s="150" t="s">
        <v>87</v>
      </c>
    </row>
    <row r="8" spans="1:11" ht="15.75" x14ac:dyDescent="0.2">
      <c r="A8" s="109">
        <v>5</v>
      </c>
      <c r="B8" s="150" t="s">
        <v>88</v>
      </c>
    </row>
    <row r="9" spans="1:11" ht="15.75" x14ac:dyDescent="0.2">
      <c r="A9" s="109">
        <v>6</v>
      </c>
      <c r="B9" s="150" t="s">
        <v>89</v>
      </c>
    </row>
    <row r="10" spans="1:11" ht="15.75" x14ac:dyDescent="0.2">
      <c r="A10" s="109">
        <v>7</v>
      </c>
      <c r="B10" s="150" t="s">
        <v>90</v>
      </c>
    </row>
    <row r="11" spans="1:11" ht="15.75" x14ac:dyDescent="0.2">
      <c r="A11" s="109">
        <v>8</v>
      </c>
      <c r="B11" s="150" t="s">
        <v>91</v>
      </c>
    </row>
    <row r="12" spans="1:11" ht="15.75" x14ac:dyDescent="0.2">
      <c r="A12" s="109">
        <v>9</v>
      </c>
      <c r="B12" s="150" t="s">
        <v>92</v>
      </c>
    </row>
    <row r="13" spans="1:11" ht="15.75" x14ac:dyDescent="0.2">
      <c r="A13" s="109">
        <v>10</v>
      </c>
      <c r="B13" s="150" t="s">
        <v>93</v>
      </c>
    </row>
    <row r="14" spans="1:11" ht="15.75" x14ac:dyDescent="0.2">
      <c r="A14" s="109">
        <v>11</v>
      </c>
      <c r="B14" s="150" t="s">
        <v>94</v>
      </c>
    </row>
    <row r="15" spans="1:11" ht="15.75" x14ac:dyDescent="0.2">
      <c r="A15" s="109">
        <v>12</v>
      </c>
      <c r="B15" s="150" t="s">
        <v>95</v>
      </c>
    </row>
    <row r="16" spans="1:11" ht="15.75" x14ac:dyDescent="0.2">
      <c r="A16" s="109">
        <v>13</v>
      </c>
      <c r="B16" s="143"/>
    </row>
    <row r="17" spans="1:2" ht="15.75" x14ac:dyDescent="0.2">
      <c r="A17" s="109">
        <v>14</v>
      </c>
      <c r="B17" s="143"/>
    </row>
    <row r="18" spans="1:2" ht="15.75" x14ac:dyDescent="0.2">
      <c r="A18" s="109">
        <v>15</v>
      </c>
      <c r="B18" s="143"/>
    </row>
    <row r="19" spans="1:2" ht="15.75" x14ac:dyDescent="0.2">
      <c r="A19" s="109">
        <v>16</v>
      </c>
      <c r="B19" s="143"/>
    </row>
    <row r="20" spans="1:2" ht="15.75" x14ac:dyDescent="0.2">
      <c r="A20" s="109">
        <v>17</v>
      </c>
      <c r="B20" s="143"/>
    </row>
    <row r="21" spans="1:2" ht="15.75" x14ac:dyDescent="0.2">
      <c r="A21" s="109">
        <v>18</v>
      </c>
      <c r="B21" s="143"/>
    </row>
    <row r="22" spans="1:2" ht="15.75" x14ac:dyDescent="0.2">
      <c r="A22" s="109">
        <v>19</v>
      </c>
      <c r="B22" s="143"/>
    </row>
    <row r="23" spans="1:2" ht="15.75" x14ac:dyDescent="0.2">
      <c r="A23" s="109">
        <v>20</v>
      </c>
      <c r="B23" s="143"/>
    </row>
    <row r="24" spans="1:2" ht="15.75" x14ac:dyDescent="0.2">
      <c r="A24" s="109">
        <v>21</v>
      </c>
      <c r="B24" s="143"/>
    </row>
    <row r="25" spans="1:2" ht="15.75" x14ac:dyDescent="0.2">
      <c r="A25" s="109">
        <v>22</v>
      </c>
      <c r="B25" s="143"/>
    </row>
    <row r="26" spans="1:2" ht="15.75" x14ac:dyDescent="0.2">
      <c r="A26" s="109">
        <v>23</v>
      </c>
      <c r="B26" s="143"/>
    </row>
    <row r="27" spans="1:2" ht="15.75" x14ac:dyDescent="0.2">
      <c r="A27" s="109">
        <v>24</v>
      </c>
      <c r="B27" s="143"/>
    </row>
    <row r="28" spans="1:2" ht="15.75" x14ac:dyDescent="0.2">
      <c r="A28" s="109">
        <v>25</v>
      </c>
      <c r="B28" s="143"/>
    </row>
    <row r="29" spans="1:2" ht="15.75" x14ac:dyDescent="0.2">
      <c r="A29" s="109">
        <v>26</v>
      </c>
      <c r="B29" s="143"/>
    </row>
    <row r="30" spans="1:2" ht="15.75" x14ac:dyDescent="0.2">
      <c r="A30" s="109">
        <v>27</v>
      </c>
      <c r="B30" s="143"/>
    </row>
    <row r="31" spans="1:2" ht="15.75" x14ac:dyDescent="0.2">
      <c r="A31" s="109">
        <v>28</v>
      </c>
      <c r="B31" s="143"/>
    </row>
    <row r="32" spans="1:2" ht="15.75" x14ac:dyDescent="0.2">
      <c r="A32" s="109">
        <v>29</v>
      </c>
      <c r="B32" s="143"/>
    </row>
    <row r="33" spans="1:11" ht="15.75" x14ac:dyDescent="0.2">
      <c r="A33" s="109">
        <v>30</v>
      </c>
      <c r="B33" s="143"/>
    </row>
    <row r="34" spans="1:11" ht="15.75" x14ac:dyDescent="0.2">
      <c r="A34" s="109">
        <v>31</v>
      </c>
      <c r="B34" s="143"/>
    </row>
    <row r="35" spans="1:11" x14ac:dyDescent="0.2">
      <c r="A35" s="248"/>
      <c r="B35" s="143"/>
      <c r="C35" s="143"/>
      <c r="D35" s="143"/>
      <c r="E35" s="143"/>
      <c r="F35" s="143"/>
      <c r="G35" s="143"/>
      <c r="H35" s="143"/>
      <c r="I35" s="143"/>
      <c r="J35" s="143"/>
      <c r="K35" s="143"/>
    </row>
    <row r="36" spans="1:11" x14ac:dyDescent="0.2">
      <c r="A36" s="248"/>
      <c r="B36" s="143"/>
      <c r="C36" s="143"/>
      <c r="D36" s="143"/>
      <c r="E36" s="143"/>
      <c r="F36" s="143"/>
      <c r="G36" s="143"/>
      <c r="H36" s="143"/>
      <c r="I36" s="143"/>
      <c r="J36" s="143"/>
      <c r="K36" s="143"/>
    </row>
    <row r="37" spans="1:11" x14ac:dyDescent="0.2">
      <c r="A37" s="248"/>
      <c r="B37" s="143"/>
      <c r="C37" s="143"/>
      <c r="D37" s="143"/>
      <c r="E37" s="143"/>
      <c r="F37" s="143"/>
      <c r="G37" s="143"/>
      <c r="H37" s="143"/>
      <c r="I37" s="143"/>
      <c r="J37" s="143"/>
      <c r="K37" s="143"/>
    </row>
    <row r="38" spans="1:11" ht="15" thickBot="1" x14ac:dyDescent="0.25">
      <c r="A38" s="249"/>
      <c r="B38" s="143"/>
      <c r="C38" s="143"/>
      <c r="D38" s="143"/>
      <c r="E38" s="143"/>
      <c r="F38" s="143"/>
      <c r="G38" s="143"/>
      <c r="H38" s="143"/>
      <c r="I38" s="143"/>
      <c r="J38" s="143"/>
      <c r="K38" s="143"/>
    </row>
  </sheetData>
  <mergeCells count="4">
    <mergeCell ref="A1:K1"/>
    <mergeCell ref="A2:A3"/>
    <mergeCell ref="A35:A36"/>
    <mergeCell ref="A37:A3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كـشـف حضور يومي</vt:lpstr>
      <vt:lpstr>تقرير حضور مجمع</vt:lpstr>
      <vt:lpstr>كريم</vt:lpstr>
      <vt:lpstr>عبد العزيز</vt:lpstr>
      <vt:lpstr>محمد حسين</vt:lpstr>
      <vt:lpstr>هالة محمود</vt:lpstr>
      <vt:lpstr>إسلام محمد</vt:lpstr>
      <vt:lpstr>أحمد عبد المنعم</vt:lpstr>
      <vt:lpstr>هاجر أحمد</vt:lpstr>
      <vt:lpstr>مديحة حمدي</vt:lpstr>
      <vt:lpstr>دينا سيد</vt:lpstr>
      <vt:lpstr>أحمد نبوي</vt:lpstr>
      <vt:lpstr>محمد إبراهيم</vt:lpstr>
      <vt:lpstr>حصر شهري</vt:lpstr>
      <vt:lpstr>مراجع</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2025-03-01T19:42:36Z</dcterms:modified>
</cp:coreProperties>
</file>